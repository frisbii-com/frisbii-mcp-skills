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kills" sheetId="2" state="visible" r:id="rId4"/>
    <sheet name="Kvitora clashes" sheetId="3" state="visible" r:id="rId5"/>
    <sheet name="13-week plan" sheetId="4" state="visible" r:id="rId6"/>
    <sheet name="Summary" sheetId="5" state="visible" r:id="rId7"/>
  </sheets>
  <definedNames>
    <definedName function="false" hidden="true" localSheetId="3" name="_xlnm._FilterDatabase" vbProcedure="false">'13-week plan'!$A$1:$O$14</definedName>
    <definedName function="false" hidden="true" localSheetId="2" name="_xlnm._FilterDatabase" vbProcedure="false">'Kvitora clashes'!$A$1:$G$6</definedName>
    <definedName function="false" hidden="true" localSheetId="1" name="_xlnm._FilterDatabase" vbProcedure="false">Skills!$A$1:$Q$20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<sst xmlns="http://schemas.openxmlformats.org/spreadsheetml/2006/main" count="555" uniqueCount="311">
  <si>
    <t xml:space="preserve">Frisbii MCP Skills Pack and "Skill of the Week" launch plan</t>
  </si>
  <si>
    <t xml:space="preserve">Purpose</t>
  </si>
  <si>
    <t xml:space="preserve">Defines the installable skills pack for the Frisbii MCP server, flags overlap with the Kvitora collections agent, and lays out a 13-week marketing series to drive adoption (26 Oct 2026 to 18 Jan 2027).</t>
  </si>
  <si>
    <t xml:space="preserve">Tabs</t>
  </si>
  <si>
    <t xml:space="preserve">Skills: the full skill list with product fit, Kvitora risk and release timing.  Kvitora clashes: skills that could substitute for the collections agent, and how each hands off to it.  13-week plan: weekly episodes by audience, with channels, Kvitora tie-ins and KPIs.  Summary: live counts that update as you edit the other tabs.</t>
  </si>
  <si>
    <t xml:space="preserve">Cells to edit</t>
  </si>
  <si>
    <t xml:space="preserve">Yellow cells are for your team to fill in: owners, status, MCP validation results and KPI targets. Status and validation columns have drop-down lists. Everything else is a working draft and can be changed freely.</t>
  </si>
  <si>
    <t xml:space="preserve">Example entry</t>
  </si>
  <si>
    <t xml:space="preserve">Owner: "Product marketing".  Status: "In progress".  MCP validation: "Works on both".  Target installs: 50.</t>
  </si>
  <si>
    <t xml:space="preserve">Product labels</t>
  </si>
  <si>
    <t xml:space="preserve">Pay = Frisbii Pay. Billing = Frisbii Billing. Both = works on either. Skills labelled Billing may also work for Pay merchants who run subscriptions on Pay; the "Test on Pay?" column flags these for validation.</t>
  </si>
  <si>
    <t xml:space="preserve">Key dates</t>
  </si>
  <si>
    <t xml:space="preserve">Black Friday 27 Nov 2026. Cyber Monday 30 Nov 2026. Month ends 30 Oct, 30 Nov, 31 Dec. Q4 / year end 31 Dec.</t>
  </si>
  <si>
    <t xml:space="preserve">Assumptions</t>
  </si>
  <si>
    <t xml:space="preserve">Skill-to-MCP-tool mapping is not yet validated. Proposed Pay skills (payout reconciliation, dispute monitor, payment-method mix) depend on the MCP exposing payout, dispute and method-level data. plan-performance waits on the list_plans fix. All first-quarter skills are read-only.</t>
  </si>
  <si>
    <t xml:space="preserve">Ground rules</t>
  </si>
  <si>
    <t xml:space="preserve">No skill drafts or sends customer outreach about unpaid invoices; that is Kvitora's job. Every payment-failure skill ends with a Kvitora handoff. Each skill is released a few days before its episode.</t>
  </si>
  <si>
    <t xml:space="preserve">Update 20 Oct 2026</t>
  </si>
  <si>
    <t xml:space="preserve">Skills tab: added MCP feasibility, feasibility notes and main MCP tools (columns M–O), mapped from the live Frisbii Billing &amp; Pay MCP tool list (source: docs/mcp-tool-map.md in frisbii-com/frisbii-mcp-skills). Added repo status and a link to each skill's Confluence page (columns P–Q, space SKILL). Owner set to Martyn Arbon. 'MCP validation' stays 'Not validated': the MCP entitlement is not yet enabled on the test accounts, so no skill has run on live data.</t>
  </si>
  <si>
    <t xml:space="preserve">Kvitora decision (19 Oct 2026)</t>
  </si>
  <si>
    <t xml:space="preserve">For the skills, Kvitora is treated as out of scope: skills end with neutral recovery next steps instead of a Kvitora handoff, and may draft customer messages for the merchant to send (still read-only). The Kvitora risk column and Kvitora clashes tab are kept for reference only.</t>
  </si>
  <si>
    <t xml:space="preserve">#</t>
  </si>
  <si>
    <t xml:space="preserve">Skill</t>
  </si>
  <si>
    <t xml:space="preserve">Category</t>
  </si>
  <si>
    <t xml:space="preserve">What it does for the merchant</t>
  </si>
  <si>
    <t xml:space="preserve">Product</t>
  </si>
  <si>
    <t xml:space="preserve">Test on Pay?</t>
  </si>
  <si>
    <t xml:space="preserve">Kvitora risk</t>
  </si>
  <si>
    <t xml:space="preserve">Featured week</t>
  </si>
  <si>
    <t xml:space="preserve">Release status</t>
  </si>
  <si>
    <t xml:space="preserve">Dependencies / notes</t>
  </si>
  <si>
    <t xml:space="preserve">MCP validation</t>
  </si>
  <si>
    <t xml:space="preserve">Owner</t>
  </si>
  <si>
    <t xml:space="preserve">MCP feasibility (20 Oct 2026)</t>
  </si>
  <si>
    <t xml:space="preserve">Feasibility notes (live MCP tools)</t>
  </si>
  <si>
    <t xml:space="preserve">Main MCP tools</t>
  </si>
  <si>
    <t xml:space="preserve">Repo status</t>
  </si>
  <si>
    <t xml:space="preserve">Confluence page</t>
  </si>
  <si>
    <t xml:space="preserve">frisbii-core</t>
  </si>
  <si>
    <t xml:space="preserve">Foundation</t>
  </si>
  <si>
    <t xml:space="preserve">Checks the connection, detects Pay vs Billing, paces calls for the rate limit, enforces read-only defaults and consistent currency/date formatting. Every other skill relies on it.</t>
  </si>
  <si>
    <t xml:space="preserve">Both</t>
  </si>
  <si>
    <t xml:space="preserve">n/a</t>
  </si>
  <si>
    <t xml:space="preserve">None</t>
  </si>
  <si>
    <t xml:space="preserve">Core</t>
  </si>
  <si>
    <t xml:space="preserve">Rate limit ~3 calls/min must be handled here.</t>
  </si>
  <si>
    <t xml:space="preserve">Not validated</t>
  </si>
  <si>
    <t xml:space="preserve">Martyn Arbon</t>
  </si>
  <si>
    <t xml:space="preserve">Feasible</t>
  </si>
  <si>
    <t xml:space="preserve">Pay/Billing detection is a heuristic (live subscriptions vs settled transactions)</t>
  </si>
  <si>
    <t xml:space="preserve">get_account, get_token_allowance, count_subscriptions, count_transactions</t>
  </si>
  <si>
    <t xml:space="preserve">Drafted, not validated</t>
  </si>
  <si>
    <t xml:space="preserve">https://billwerk.atlassian.net/wiki/spaces/SKILL/pages/11604164621</t>
  </si>
  <si>
    <t xml:space="preserve">month-end-close</t>
  </si>
  <si>
    <t xml:space="preserve">Revenue &amp; reporting</t>
  </si>
  <si>
    <t xml:space="preserve">MRR snapshot, new vs churned subscriptions, open vs paid invoices for the month.</t>
  </si>
  <si>
    <t xml:space="preserve">Billing</t>
  </si>
  <si>
    <t xml:space="preserve">Yes</t>
  </si>
  <si>
    <t xml:space="preserve">Series</t>
  </si>
  <si>
    <t xml:space="preserve">Launch episode. Refresher in week 6 for November close.</t>
  </si>
  <si>
    <t xml:space="preserve">MRR is "as of snapshot", not "at month end". Opening MRR not derivable</t>
  </si>
  <si>
    <t xml:space="preserve">get_subscription_revenue, get_committed_recurring_revenue, count_subscriptions, count_invoices, get_refunds</t>
  </si>
  <si>
    <t xml:space="preserve">https://billwerk.atlassian.net/wiki/spaces/SKILL/pages/11603771396</t>
  </si>
  <si>
    <t xml:space="preserve">customer-360</t>
  </si>
  <si>
    <t xml:space="preserve">Customer</t>
  </si>
  <si>
    <t xml:space="preserve">Everything about one customer before a call: plan, payment history, failures, invoices.</t>
  </si>
  <si>
    <t xml:space="preserve">Low</t>
  </si>
  <si>
    <t xml:space="preserve">Show overdue status only; never suggest outreach.</t>
  </si>
  <si>
    <t xml:space="preserve">No known gaps</t>
  </si>
  <si>
    <t xml:space="preserve">get_customer_billing_overview, list_customers, resolve_handle, get_customer_balance, get_subscription_revenue, get_dunning_status</t>
  </si>
  <si>
    <t xml:space="preserve">https://billwerk.atlassian.net/wiki/spaces/SKILL/pages/11603902520</t>
  </si>
  <si>
    <t xml:space="preserve">card-expiry-sweep</t>
  </si>
  <si>
    <t xml:space="preserve">Payments &amp; recovery</t>
  </si>
  <si>
    <t xml:space="preserve">Customers whose card expires before their next renewal.</t>
  </si>
  <si>
    <t xml:space="preserve">Pay</t>
  </si>
  <si>
    <t xml:space="preserve">Preventive, so it complements Kvitora. Must not draft customer emails.</t>
  </si>
  <si>
    <t xml:space="preserve">Partly feasible</t>
  </si>
  <si>
    <t xml:space="preserve">No expiry filter or count tool, so it means paging every payment method at 3 calls/min. Check whether create_report_export offers a payment-method report; otherwise limit to the top N customers by revenue</t>
  </si>
  <si>
    <t xml:space="preserve">list_payment_methods (has exp_date), list_subscriptions</t>
  </si>
  <si>
    <t xml:space="preserve">https://billwerk.atlassian.net/wiki/spaces/SKILL/pages/11603869698</t>
  </si>
  <si>
    <t xml:space="preserve">account-hygiene</t>
  </si>
  <si>
    <t xml:space="preserve">Operations</t>
  </si>
  <si>
    <t xml:space="preserve">Stale trials, subscriptions with no payment method, leftover test data.</t>
  </si>
  <si>
    <t xml:space="preserve">Series (Billing alt.)</t>
  </si>
  <si>
    <t xml:space="preserve">Billing audience alternative in week 3.</t>
  </si>
  <si>
    <t xml:space="preserve">"Subscription with no payment method" isn't filterable</t>
  </si>
  <si>
    <t xml:space="preserve">count_subscriptions (state=pending,on_hold), list_customers (test flag), count_customers</t>
  </si>
  <si>
    <t xml:space="preserve">https://billwerk.atlassian.net/wiki/spaces/SKILL/pages/11604590625</t>
  </si>
  <si>
    <t xml:space="preserve">promo-readiness</t>
  </si>
  <si>
    <t xml:space="preserve">Pricing &amp; promotions</t>
  </si>
  <si>
    <t xml:space="preserve">Pre-campaign check of coupons, discounts and plan setup.</t>
  </si>
  <si>
    <t xml:space="preserve">Partly depends on plan data; check list_plans fix status.</t>
  </si>
  <si>
    <t xml:space="preserve">Plan names need list_plans (bug status untested)</t>
  </si>
  <si>
    <t xml:space="preserve">list_coupons state=active, list_discounts, get_plan, list_plans</t>
  </si>
  <si>
    <t xml:space="preserve">https://billwerk.atlassian.net/wiki/spaces/SKILL/pages/11603705881</t>
  </si>
  <si>
    <t xml:space="preserve">payment-method-mix</t>
  </si>
  <si>
    <t xml:space="preserve">Payment-method mix and success rates by market (e.g. card vs MobilePay).</t>
  </si>
  <si>
    <t xml:space="preserve">Proposed</t>
  </si>
  <si>
    <t xml:space="preserve">Needs method-level data from the MCP. Pay alternative in week 4.</t>
  </si>
  <si>
    <t xml:space="preserve">Settled-date filters exclude failures, so success rates are all-time while the period mix is settled-only. No per-country method cross-tab</t>
  </si>
  <si>
    <t xml:space="preserve">count_transactions (settled window, group_by=payment_type; all-time group_by=payment_type,state), count_open_transactions per method, count_customers group_by=country</t>
  </si>
  <si>
    <t xml:space="preserve">https://billwerk.atlassian.net/wiki/spaces/SKILL/pages/11604295692</t>
  </si>
  <si>
    <t xml:space="preserve">peak-pulse</t>
  </si>
  <si>
    <t xml:space="preserve">Live view of sign-ups and payment success by method during a peak, paced for rate limits.</t>
  </si>
  <si>
    <t xml:space="preserve">Highest rate-limit risk. Batch calls; consider a temporary limit increase for BFCM week.</t>
  </si>
  <si>
    <t xml:space="preserve">Settled-window transactions exclude failures, so the success rate comes from invoice states. Snapshot lag is "typically minutes", so it isn't truly live. Say so in the episode. 3 calls per refresh</t>
  </si>
  <si>
    <t xml:space="preserve">count_transactions (settled window, group_by=payment_type), count_invoices (created window, group_by=state) for the success rate, count_subscriptions (created window)</t>
  </si>
  <si>
    <t xml:space="preserve">https://billwerk.atlassian.net/wiki/spaces/SKILL/pages/11604230686</t>
  </si>
  <si>
    <t xml:space="preserve">failed-payment-triage</t>
  </si>
  <si>
    <t xml:space="preserve">Failed payments grouped by reason, recoverable vs not, top accounts at risk.</t>
  </si>
  <si>
    <t xml:space="preserve">High</t>
  </si>
  <si>
    <t xml:space="preserve">Ship only with Kvitora handoff. If Kvitora isn't live by late Nov, move this episode later.</t>
  </si>
  <si>
    <t xml:space="preserve">Grouping failures by reason means the export (acquirer codes) or paging list_failed_payments (one-month default)</t>
  </si>
  <si>
    <t xml:space="preserve">count_invoices state=failed/dunning, count_open_transactions, investigate_failed_or_overdue_billing, list_failed_payments, create_report_export report=open_transactions</t>
  </si>
  <si>
    <t xml:space="preserve">https://billwerk.atlassian.net/wiki/spaces/SKILL/pages/11603902545</t>
  </si>
  <si>
    <t xml:space="preserve">promo-cohort-quality</t>
  </si>
  <si>
    <t xml:space="preserve">How discount-acquired subscribers behave compared with full-price ones.</t>
  </si>
  <si>
    <t xml:space="preserve">Early read in Dec; repeat in Feb for a fuller picture.</t>
  </si>
  <si>
    <t xml:space="preserve">No direct discounted vs full-price filter on count_subscriptions. Needs the export joined to subscription state</t>
  </si>
  <si>
    <t xml:space="preserve">count_subscription_discounts, create_report_export report=subscription_discounts, count_subscriptions</t>
  </si>
  <si>
    <t xml:space="preserve">https://billwerk.atlassian.net/wiki/spaces/SKILL/pages/11603705904</t>
  </si>
  <si>
    <t xml:space="preserve">dispute-monitor</t>
  </si>
  <si>
    <t xml:space="preserve">Chargebacks and disputes after a peak period, by reason and amount.</t>
  </si>
  <si>
    <t xml:space="preserve">Needs dispute data from the MCP. Pay alternative in week 7.</t>
  </si>
  <si>
    <t xml:space="preserve">Aggregates only, no per-dispute rows</t>
  </si>
  <si>
    <t xml:space="preserve">count_disputes group_by=reason,outcome,state</t>
  </si>
  <si>
    <t xml:space="preserve">https://billwerk.atlassian.net/wiki/spaces/SKILL/pages/11603902568</t>
  </si>
  <si>
    <t xml:space="preserve">renewal-radar</t>
  </si>
  <si>
    <t xml:space="preserve">Annual and high-value renewals coming up in the next 30-60 days.</t>
  </si>
  <si>
    <t xml:space="preserve">No renewal-date filter, so it pages subscriptions per annual plan</t>
  </si>
  <si>
    <t xml:space="preserve">list_subscriptions (next renewal), get_plan (interval), get_committed_recurring_revenue</t>
  </si>
  <si>
    <t xml:space="preserve">https://billwerk.atlassian.net/wiki/spaces/SKILL/pages/11604557894</t>
  </si>
  <si>
    <t xml:space="preserve">year-in-review</t>
  </si>
  <si>
    <t xml:space="preserve">Shareable annual recap: payment volume (Pay) or recurring revenue growth (Billing), top plans, milestones.</t>
  </si>
  <si>
    <t xml:space="preserve">Light holiday-week episode; designed to be shared on LinkedIn.</t>
  </si>
  <si>
    <t xml:space="preserve">count_transactions (year, group_by=payment_type), get_subscription_revenue, count_subscriptions, count_customers</t>
  </si>
  <si>
    <t xml:space="preserve">https://billwerk.atlassian.net/wiki/spaces/SKILL/pages/11603935243</t>
  </si>
  <si>
    <t xml:space="preserve">board-pack</t>
  </si>
  <si>
    <t xml:space="preserve">Quarter- or year-end summary: MRR movement, retention, cohorts, plan mix.</t>
  </si>
  <si>
    <t xml:space="preserve">Showcase for branded deck output.</t>
  </si>
  <si>
    <t xml:space="preserve">as month-end-close over a quarter, plus count_customers, get_add_on_revenue</t>
  </si>
  <si>
    <t xml:space="preserve">https://billwerk.atlassian.net/wiki/spaces/SKILL/pages/11604328484</t>
  </si>
  <si>
    <t xml:space="preserve">payout-reconciliation</t>
  </si>
  <si>
    <t xml:space="preserve">Reconciles payouts and settlements against transactions for the period. The Pay equivalent of month-end close.</t>
  </si>
  <si>
    <t xml:space="preserve">Needs payout/settlement data from the MCP. Pay alternative in weeks 1 and 11.</t>
  </si>
  <si>
    <t xml:space="preserve">Keep major- and minor-unit sources apart</t>
  </si>
  <si>
    <t xml:space="preserve">reconcile_payout_window (pass currency), list_payouts, list_settlements (major units), get_settlement_report</t>
  </si>
  <si>
    <t xml:space="preserve">https://billwerk.atlassian.net/wiki/spaces/SKILL/pages/11604131862</t>
  </si>
  <si>
    <t xml:space="preserve">churn-and-retention</t>
  </si>
  <si>
    <t xml:space="preserve">Voluntary vs involuntary churn, trends, at-risk segments.</t>
  </si>
  <si>
    <t xml:space="preserve">Medium</t>
  </si>
  <si>
    <t xml:space="preserve">Involuntary-churn section must hand off to Kvitora.</t>
  </si>
  <si>
    <t xml:space="preserve">The voluntary vs involuntary split (expire_reason=dunning) isn't a count filter. Check group_by options or the export. Uses the recovery next steps</t>
  </si>
  <si>
    <t xml:space="preserve">count_subscriptions ended_*, get_subscription_revenue ended_*, get_committed_recurring_revenue</t>
  </si>
  <si>
    <t xml:space="preserve">https://billwerk.atlassian.net/wiki/spaces/SKILL/pages/11604066330</t>
  </si>
  <si>
    <t xml:space="preserve">dunning-review</t>
  </si>
  <si>
    <t xml:space="preserve">Reframed as a Kvitora performance report: recovery rate, money recovered, time to payment. Shows the opportunity for merchants not yet using Kvitora.</t>
  </si>
  <si>
    <t xml:space="preserve">Series (Pay alt.)</t>
  </si>
  <si>
    <t xml:space="preserve">Only ship in the Kvitora-report framing. Could become Both if Billing dunning data is exposed.</t>
  </si>
  <si>
    <t xml:space="preserve">Recovery rate comes from settled invoices that carry a dunning timestamp, via paged list_invoices, so it's sample-based on large accounts. Confirm the timestamp field exists</t>
  </si>
  <si>
    <t xml:space="preserve">list_dunning_plans, count_invoices dunning_invoices=true, investigate_dunning_invoices, list_invoices state=settled/failed</t>
  </si>
  <si>
    <t xml:space="preserve">https://billwerk.atlassian.net/wiki/spaces/SKILL/pages/11604393997</t>
  </si>
  <si>
    <t xml:space="preserve">migration-from-transform</t>
  </si>
  <si>
    <t xml:space="preserve">Migration</t>
  </si>
  <si>
    <t xml:space="preserve">Guides Frisbii Transform customers through moving to Frisbii Billing.</t>
  </si>
  <si>
    <t xml:space="preserve">Kicks off a Q1 migration mini-series aimed at Transform customers.</t>
  </si>
  <si>
    <t xml:space="preserve">Mostly guidance content. The MCP has no Transform-side data</t>
  </si>
  <si>
    <t xml:space="preserve">get_account, count_* for a post-migration check</t>
  </si>
  <si>
    <t xml:space="preserve">https://billwerk.atlassian.net/wiki/spaces/SKILL/pages/11604492293</t>
  </si>
  <si>
    <t xml:space="preserve">plan-performance</t>
  </si>
  <si>
    <t xml:space="preserve">Which plans grow, churn and get discounted.</t>
  </si>
  <si>
    <t xml:space="preserve">Later</t>
  </si>
  <si>
    <t xml:space="preserve">Blocked on the list_plans parsing bug.</t>
  </si>
  <si>
    <t xml:space="preserve">Feasible (likely)</t>
  </si>
  <si>
    <t xml:space="preserve">No longer blocked by list_plans except for display names. Discounts per plan only via coupon eligibility or the subscription_discounts export</t>
  </si>
  <si>
    <t xml:space="preserve">get_subscription_revenue group_by=plan, count_subscriptions group_by=plan (live, created, ended), get_committed_recurring_revenue group_by=plan, list_plans (names), list_coupons</t>
  </si>
  <si>
    <t xml:space="preserve">https://billwerk.atlassian.net/wiki/spaces/SKILL/pages/11604000773</t>
  </si>
  <si>
    <t xml:space="preserve">Why it could clash</t>
  </si>
  <si>
    <t xml:space="preserve">Mitigation</t>
  </si>
  <si>
    <t xml:space="preserve">Suggested handoff line in the skill output</t>
  </si>
  <si>
    <t xml:space="preserve">Must never do</t>
  </si>
  <si>
    <t xml:space="preserve">Lists who hasn't paid and which payments are recoverable, which is the starting point for chasing them by hand.</t>
  </si>
  <si>
    <t xml:space="preserve">End with a recoverable-amount summary and a Kvitora handoff. If Kvitora is active, show what it is already working on.</t>
  </si>
  <si>
    <t xml:space="preserve">"EUR X across Y customers is recoverable. Kvitora can work these automatically: [set up / view progress]."</t>
  </si>
  <si>
    <t xml:space="preserve">Produce a chase list formatted for sending, or draft reminder emails.</t>
  </si>
  <si>
    <t xml:space="preserve">As a retry-outcome review it sits squarely in the collections agent's space.</t>
  </si>
  <si>
    <t xml:space="preserve">Reframe as a Kvitora performance report for agent users, and a "what you're leaving on the table" view for non-users.</t>
  </si>
  <si>
    <t xml:space="preserve">"Kvitora recovered EUR X this month (Y% recovery rate)." / "An estimated EUR X went unrecovered. See how Kvitora would handle it."</t>
  </si>
  <si>
    <t xml:space="preserve">Recommend manual dunning sequences or retry schedules.</t>
  </si>
  <si>
    <t xml:space="preserve">The involuntary-churn section surfaces the same customers Kvitora targets.</t>
  </si>
  <si>
    <t xml:space="preserve">Keep the involuntary-churn section diagnostic and route it to Kvitora.</t>
  </si>
  <si>
    <t xml:space="preserve">"Z% of churn this quarter was involuntary. Kvitora is designed to recover these customers."</t>
  </si>
  <si>
    <t xml:space="preserve">Suggest contacting churned or overdue customers directly.</t>
  </si>
  <si>
    <t xml:space="preserve">Mostly preventive, but would overlap if it started generating customer outreach.</t>
  </si>
  <si>
    <t xml:space="preserve">Keep it as an internal list for the merchant's team. Position as complementary to Kvitora.</t>
  </si>
  <si>
    <t xml:space="preserve">"Expiring cards are the most common cause of future failed payments. Kvitora picks up any that slip through."</t>
  </si>
  <si>
    <t xml:space="preserve">Draft emails asking customers to update their card.</t>
  </si>
  <si>
    <t xml:space="preserve">Shows overdue status for a single customer.</t>
  </si>
  <si>
    <t xml:space="preserve">Show status only, with a note when Kvitora is already handling the account.</t>
  </si>
  <si>
    <t xml:space="preserve">"This account has an overdue invoice, currently being handled by Kvitora."</t>
  </si>
  <si>
    <t xml:space="preserve">Suggest how to chase the customer.</t>
  </si>
  <si>
    <t xml:space="preserve">Ground rules for every skill in the pack</t>
  </si>
  <si>
    <t xml:space="preserve">1. Skills diagnose; Kvitora acts. No skill drafts, schedules or sends customer outreach about unpaid invoices.</t>
  </si>
  <si>
    <t xml:space="preserve">2. Any skill that surfaces failed or overdue payments ends with a Kvitora handoff, agent-aware (shows Kvitora progress if active, the opportunity if not).</t>
  </si>
  <si>
    <t xml:space="preserve">3. No write actions that contact customers, now or in later versions of the pack.</t>
  </si>
  <si>
    <t xml:space="preserve">4. If Kvitora is not generally available by late November, move failed-payment-triage later rather than ship it without the handoff.</t>
  </si>
  <si>
    <t xml:space="preserve">Week</t>
  </si>
  <si>
    <t xml:space="preserve">Week of</t>
  </si>
  <si>
    <t xml:space="preserve">Calendar moment</t>
  </si>
  <si>
    <t xml:space="preserve">Theme</t>
  </si>
  <si>
    <t xml:space="preserve">Primary skill</t>
  </si>
  <si>
    <t xml:space="preserve">Primary audience</t>
  </si>
  <si>
    <t xml:space="preserve">Alternate for other audience</t>
  </si>
  <si>
    <t xml:space="preserve">Episode hook</t>
  </si>
  <si>
    <t xml:space="preserve">Kvitora tie-in</t>
  </si>
  <si>
    <t xml:space="preserve">Channels</t>
  </si>
  <si>
    <t xml:space="preserve">Skill ready by</t>
  </si>
  <si>
    <t xml:space="preserve">Primary KPI</t>
  </si>
  <si>
    <t xml:space="preserve">Target installs</t>
  </si>
  <si>
    <t xml:space="preserve">Status</t>
  </si>
  <si>
    <t xml:space="preserve">October month end (30 Oct)</t>
  </si>
  <si>
    <t xml:space="preserve">Launch: close October in minutes</t>
  </si>
  <si>
    <t xml:space="preserve">payout-reconciliation (Pay, proposed)</t>
  </si>
  <si>
    <t xml:space="preserve">Your month-end close, done by an assistant before your coffee cools.</t>
  </si>
  <si>
    <t xml:space="preserve">-</t>
  </si>
  <si>
    <t xml:space="preserve">Email (segmented by product), in-app/dashboard banner, LinkedIn clip, skills library page; launch announcement + CSM outreach</t>
  </si>
  <si>
    <t xml:space="preserve">Pack installs; MCP connections</t>
  </si>
  <si>
    <t xml:space="preserve">Not started</t>
  </si>
  <si>
    <t xml:space="preserve">Know your customer</t>
  </si>
  <si>
    <t xml:space="preserve">Walk into every call knowing everything.</t>
  </si>
  <si>
    <t xml:space="preserve">Shows when Kvitora is handling an overdue account.</t>
  </si>
  <si>
    <t xml:space="preserve">Email (segmented by product), in-app/dashboard banner, LinkedIn clip, skills library page; CS and sales enablement</t>
  </si>
  <si>
    <t xml:space="preserve">Installs; tool calls in 7 days</t>
  </si>
  <si>
    <t xml:space="preserve">Black Friday prep #1</t>
  </si>
  <si>
    <t xml:space="preserve">Fix expiring cards before the peak</t>
  </si>
  <si>
    <t xml:space="preserve">account-hygiene (Billing)</t>
  </si>
  <si>
    <t xml:space="preserve">Fix expiring cards before your biggest weekend, not after.</t>
  </si>
  <si>
    <t xml:space="preserve">Kvitora catches whatever slips through.</t>
  </si>
  <si>
    <t xml:space="preserve">Email (segmented by product), in-app/dashboard banner, LinkedIn clip, skills library page</t>
  </si>
  <si>
    <t xml:space="preserve">Black Friday prep #2</t>
  </si>
  <si>
    <t xml:space="preserve">Campaign readiness check</t>
  </si>
  <si>
    <t xml:space="preserve">payment-method-mix (Pay, proposed)</t>
  </si>
  <si>
    <t xml:space="preserve">Check your campaign setup before customers find the mistakes.</t>
  </si>
  <si>
    <t xml:space="preserve">Email (segmented by product), in-app/dashboard banner, LinkedIn clip, skills library page; BFCM readiness webinar (optional)</t>
  </si>
  <si>
    <t xml:space="preserve">Black Friday 27 Nov</t>
  </si>
  <si>
    <t xml:space="preserve">Watch your peak live</t>
  </si>
  <si>
    <t xml:space="preserve">peak-pulse sign-up view (Billing, if supported)</t>
  </si>
  <si>
    <t xml:space="preserve">Watch your peak as it happens.</t>
  </si>
  <si>
    <t xml:space="preserve">Email (segmented by product), in-app/dashboard banner, LinkedIn clip, skills library page; send Mon 23 Nov, reminder Fri 27 Nov</t>
  </si>
  <si>
    <t xml:space="preserve">Tool calls during BFCM weekend; error/rate-limit rate</t>
  </si>
  <si>
    <t xml:space="preserve">Cyber Monday 30 Nov; November month end</t>
  </si>
  <si>
    <t xml:space="preserve">Recover what the rush left behind</t>
  </si>
  <si>
    <t xml:space="preserve">month-end-close refresher (Billing)</t>
  </si>
  <si>
    <t xml:space="preserve">Recover what the rush left behind.</t>
  </si>
  <si>
    <t xml:space="preserve">Main Kvitora feature: size of the recoverable amount, Kvitora as the fix.</t>
  </si>
  <si>
    <t xml:space="preserve">Email (segmented by product), in-app/dashboard banner, LinkedIn clip, skills library page; Kvitora co-marketing</t>
  </si>
  <si>
    <t xml:space="preserve">Kvitora sign-ups from handoff; installs</t>
  </si>
  <si>
    <t xml:space="preserve">Post-BFCM</t>
  </si>
  <si>
    <t xml:space="preserve">Did they stick?</t>
  </si>
  <si>
    <t xml:space="preserve">dispute-monitor (Pay, proposed)</t>
  </si>
  <si>
    <t xml:space="preserve">Were your Black Friday customers worth the discount?</t>
  </si>
  <si>
    <t xml:space="preserve">Pre-January renewals</t>
  </si>
  <si>
    <t xml:space="preserve">Get ahead of January</t>
  </si>
  <si>
    <t xml:space="preserve">card-expiry-sweep refresher (Pay)</t>
  </si>
  <si>
    <t xml:space="preserve">Know which renewals matter before the new year.</t>
  </si>
  <si>
    <t xml:space="preserve">Email (segmented by product), in-app/dashboard banner, LinkedIn clip, skills library page; CSM nudge for annual-contract merchants</t>
  </si>
  <si>
    <t xml:space="preserve">Holiday week</t>
  </si>
  <si>
    <t xml:space="preserve">Your year in billing</t>
  </si>
  <si>
    <t xml:space="preserve">Your year in billing, in one prompt.</t>
  </si>
  <si>
    <t xml:space="preserve">Email (segmented by product), in-app/dashboard banner, LinkedIn clip, skills library page; encourage merchants to share on LinkedIn</t>
  </si>
  <si>
    <t xml:space="preserve">Installs; social shares</t>
  </si>
  <si>
    <t xml:space="preserve">Holiday break</t>
  </si>
  <si>
    <t xml:space="preserve">Library roundup (no new skill)</t>
  </si>
  <si>
    <t xml:space="preserve">The skills pack so far, and the best uses we've seen.</t>
  </si>
  <si>
    <t xml:space="preserve">Recap Kvitora results from week 6.</t>
  </si>
  <si>
    <t xml:space="preserve">Email + skills library page only</t>
  </si>
  <si>
    <t xml:space="preserve">Library page visits; catch-up installs</t>
  </si>
  <si>
    <t xml:space="preserve">Q4 / year-end close</t>
  </si>
  <si>
    <t xml:space="preserve">The board slide you don't have to build</t>
  </si>
  <si>
    <t xml:space="preserve">The board slide you don't have to build.</t>
  </si>
  <si>
    <t xml:space="preserve">Email (segmented by product), in-app/dashboard banner, LinkedIn clip, skills library page; CSM use in Q1 QBRs</t>
  </si>
  <si>
    <t xml:space="preserve">January churn season</t>
  </si>
  <si>
    <t xml:space="preserve">Spot cancellations before they happen</t>
  </si>
  <si>
    <t xml:space="preserve">failed-payment-triage refresher (Pay)</t>
  </si>
  <si>
    <t xml:space="preserve">Spot the cancellations before they happen.</t>
  </si>
  <si>
    <t xml:space="preserve">Involuntary churn routed to Kvitora.</t>
  </si>
  <si>
    <t xml:space="preserve">Installs; Kvitora sign-ups from handoff</t>
  </si>
  <si>
    <t xml:space="preserve">Start of Q1 migration push</t>
  </si>
  <si>
    <t xml:space="preserve">Moving to Frisbii Billing</t>
  </si>
  <si>
    <t xml:space="preserve">Transform customers</t>
  </si>
  <si>
    <t xml:space="preserve">dunning-review / Kvitora report (Pay)</t>
  </si>
  <si>
    <t xml:space="preserve">Moving to Frisbii Billing, step by step.</t>
  </si>
  <si>
    <t xml:space="preserve">Pay alternative is the Kvitora performance report.</t>
  </si>
  <si>
    <t xml:space="preserve">Targeted email to Transform customers, CSM outreach, webinar</t>
  </si>
  <si>
    <t xml:space="preserve">Migration skill installs; migration starts</t>
  </si>
  <si>
    <t xml:space="preserve">Total target installs</t>
  </si>
  <si>
    <t xml:space="preserve">Skill ready by = release date, a few days before the episode, so early adopters can test it. Proposed Pay skills depend on MCP data availability; if unavailable, Pay merchants skip that week.</t>
  </si>
  <si>
    <t xml:space="preserve">Summary (updates automatically)</t>
  </si>
  <si>
    <t xml:space="preserve">Skills by product</t>
  </si>
  <si>
    <t xml:space="preserve">Count</t>
  </si>
  <si>
    <t xml:space="preserve">Total</t>
  </si>
  <si>
    <t xml:space="preserve">Skills by Kvitora risk</t>
  </si>
  <si>
    <t xml:space="preserve">Skills by release status</t>
  </si>
  <si>
    <t xml:space="preserve">Episodes by primary audience</t>
  </si>
  <si>
    <t xml:space="preserve">Audience</t>
  </si>
  <si>
    <t xml:space="preserve">Episode status</t>
  </si>
  <si>
    <t xml:space="preserve">In progress</t>
  </si>
  <si>
    <t xml:space="preserve">Ready</t>
  </si>
  <si>
    <t xml:space="preserve">Live</t>
  </si>
  <si>
    <t xml:space="preserve">Done</t>
  </si>
  <si>
    <t xml:space="preserve">Moved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</si>
</sst>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2"/>
      <color theme="10"/>
      <name val="Calibri"/>
      <family val="2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3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EE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EEEE"/>
      <rgbColor rgb="FF660066"/>
      <rgbColor rgb="FFFF8080"/>
      <rgbColor rgb="FF0563C1"/>
      <rgbColor rgb="FFD0D4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billwerk.atlassian.net/wiki/spaces/SKILL/pages/11604164621" TargetMode="External"/><Relationship Id="rId2" Type="http://schemas.openxmlformats.org/officeDocument/2006/relationships/hyperlink" Target="https://billwerk.atlassian.net/wiki/spaces/SKILL/pages/11603771396" TargetMode="External"/><Relationship Id="rId3" Type="http://schemas.openxmlformats.org/officeDocument/2006/relationships/hyperlink" Target="https://billwerk.atlassian.net/wiki/spaces/SKILL/pages/11603902520" TargetMode="External"/><Relationship Id="rId4" Type="http://schemas.openxmlformats.org/officeDocument/2006/relationships/hyperlink" Target="https://billwerk.atlassian.net/wiki/spaces/SKILL/pages/11603869698" TargetMode="External"/><Relationship Id="rId5" Type="http://schemas.openxmlformats.org/officeDocument/2006/relationships/hyperlink" Target="https://billwerk.atlassian.net/wiki/spaces/SKILL/pages/11604590625" TargetMode="External"/><Relationship Id="rId6" Type="http://schemas.openxmlformats.org/officeDocument/2006/relationships/hyperlink" Target="https://billwerk.atlassian.net/wiki/spaces/SKILL/pages/11603705881" TargetMode="External"/><Relationship Id="rId7" Type="http://schemas.openxmlformats.org/officeDocument/2006/relationships/hyperlink" Target="https://billwerk.atlassian.net/wiki/spaces/SKILL/pages/11604295692" TargetMode="External"/><Relationship Id="rId8" Type="http://schemas.openxmlformats.org/officeDocument/2006/relationships/hyperlink" Target="https://billwerk.atlassian.net/wiki/spaces/SKILL/pages/11604230686" TargetMode="External"/><Relationship Id="rId9" Type="http://schemas.openxmlformats.org/officeDocument/2006/relationships/hyperlink" Target="https://billwerk.atlassian.net/wiki/spaces/SKILL/pages/11603902545" TargetMode="External"/><Relationship Id="rId10" Type="http://schemas.openxmlformats.org/officeDocument/2006/relationships/hyperlink" Target="https://billwerk.atlassian.net/wiki/spaces/SKILL/pages/11603705904" TargetMode="External"/><Relationship Id="rId11" Type="http://schemas.openxmlformats.org/officeDocument/2006/relationships/hyperlink" Target="https://billwerk.atlassian.net/wiki/spaces/SKILL/pages/11603902568" TargetMode="External"/><Relationship Id="rId12" Type="http://schemas.openxmlformats.org/officeDocument/2006/relationships/hyperlink" Target="https://billwerk.atlassian.net/wiki/spaces/SKILL/pages/11604557894" TargetMode="External"/><Relationship Id="rId13" Type="http://schemas.openxmlformats.org/officeDocument/2006/relationships/hyperlink" Target="https://billwerk.atlassian.net/wiki/spaces/SKILL/pages/11603935243" TargetMode="External"/><Relationship Id="rId14" Type="http://schemas.openxmlformats.org/officeDocument/2006/relationships/hyperlink" Target="https://billwerk.atlassian.net/wiki/spaces/SKILL/pages/11604328484" TargetMode="External"/><Relationship Id="rId15" Type="http://schemas.openxmlformats.org/officeDocument/2006/relationships/hyperlink" Target="https://billwerk.atlassian.net/wiki/spaces/SKILL/pages/11604131862" TargetMode="External"/><Relationship Id="rId16" Type="http://schemas.openxmlformats.org/officeDocument/2006/relationships/hyperlink" Target="https://billwerk.atlassian.net/wiki/spaces/SKILL/pages/11604066330" TargetMode="External"/><Relationship Id="rId17" Type="http://schemas.openxmlformats.org/officeDocument/2006/relationships/hyperlink" Target="https://billwerk.atlassian.net/wiki/spaces/SKILL/pages/11604393997" TargetMode="External"/><Relationship Id="rId18" Type="http://schemas.openxmlformats.org/officeDocument/2006/relationships/hyperlink" Target="https://billwerk.atlassian.net/wiki/spaces/SKILL/pages/11604492293" TargetMode="External"/><Relationship Id="rId19" Type="http://schemas.openxmlformats.org/officeDocument/2006/relationships/hyperlink" Target="https://billwerk.atlassian.net/wiki/spaces/SKILL/pages/11604000773" TargetMode="External"/><Relationship Id="rId20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0</v>
      </c>
    </row>
    <row r="3" customFormat="false" ht="23.25" hidden="false" customHeight="true" outlineLevel="0" collapsed="false">
      <c r="A3" s="3" t="s">
        <v>1</v>
      </c>
      <c r="B3" s="4" t="s">
        <v>2</v>
      </c>
    </row>
    <row r="4" customFormat="false" ht="34.5" hidden="false" customHeight="true" outlineLevel="0" collapsed="false">
      <c r="A4" s="3" t="s">
        <v>3</v>
      </c>
      <c r="B4" s="4" t="s">
        <v>4</v>
      </c>
    </row>
    <row r="5" customFormat="false" ht="23.25" hidden="false" customHeight="true" outlineLevel="0" collapsed="false">
      <c r="A5" s="3" t="s">
        <v>5</v>
      </c>
      <c r="B5" s="5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23.2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34.5" hidden="false" customHeight="true" outlineLevel="0" collapsed="false">
      <c r="A9" s="3" t="s">
        <v>13</v>
      </c>
      <c r="B9" s="4" t="s">
        <v>14</v>
      </c>
    </row>
    <row r="10" customFormat="false" ht="23.25" hidden="false" customHeight="true" outlineLevel="0" collapsed="false">
      <c r="A10" s="3" t="s">
        <v>15</v>
      </c>
      <c r="B10" s="4" t="s">
        <v>16</v>
      </c>
    </row>
    <row r="11" customFormat="false" ht="46.25" hidden="false" customHeight="false" outlineLevel="0" collapsed="false">
      <c r="A11" s="3" t="s">
        <v>17</v>
      </c>
      <c r="B11" s="4" t="s">
        <v>18</v>
      </c>
    </row>
    <row r="12" customFormat="false" ht="35.05" hidden="false" customHeight="false" outlineLevel="0" collapsed="false">
      <c r="A12" s="3" t="s">
        <v>19</v>
      </c>
      <c r="B12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4" min="4" style="1" width="50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17"/>
    <col collapsed="false" customWidth="true" hidden="false" outlineLevel="0" max="10" min="10" style="1" width="44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0" width="18"/>
    <col collapsed="false" customWidth="true" hidden="false" outlineLevel="0" max="14" min="14" style="0" width="60"/>
    <col collapsed="false" customWidth="true" hidden="false" outlineLevel="0" max="15" min="15" style="0" width="50"/>
    <col collapsed="false" customWidth="true" hidden="false" outlineLevel="0" max="16" min="16" style="0" width="16"/>
    <col collapsed="false" customWidth="true" hidden="false" outlineLevel="0" max="17" min="17" style="0" width="45"/>
  </cols>
  <sheetData>
    <row r="1" customFormat="false" ht="23.2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</row>
    <row r="2" customFormat="false" ht="34.5" hidden="false" customHeight="true" outlineLevel="0" collapsed="false">
      <c r="A2" s="7" t="n">
        <v>1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8" t="n">
        <v>1</v>
      </c>
      <c r="I2" s="7" t="s">
        <v>44</v>
      </c>
      <c r="J2" s="7" t="s">
        <v>45</v>
      </c>
      <c r="K2" s="9" t="s">
        <v>46</v>
      </c>
      <c r="L2" s="9" t="s">
        <v>47</v>
      </c>
      <c r="M2" s="7" t="s">
        <v>48</v>
      </c>
      <c r="N2" s="7" t="s">
        <v>49</v>
      </c>
      <c r="O2" s="7" t="s">
        <v>50</v>
      </c>
      <c r="P2" s="7" t="s">
        <v>51</v>
      </c>
      <c r="Q2" s="10" t="s">
        <v>52</v>
      </c>
    </row>
    <row r="3" customFormat="false" ht="23.25" hidden="false" customHeight="true" outlineLevel="0" collapsed="false">
      <c r="A3" s="7" t="n">
        <v>2</v>
      </c>
      <c r="B3" s="7" t="s">
        <v>53</v>
      </c>
      <c r="C3" s="7" t="s">
        <v>54</v>
      </c>
      <c r="D3" s="7" t="s">
        <v>55</v>
      </c>
      <c r="E3" s="7" t="s">
        <v>56</v>
      </c>
      <c r="F3" s="7" t="s">
        <v>57</v>
      </c>
      <c r="G3" s="7" t="s">
        <v>43</v>
      </c>
      <c r="H3" s="8" t="n">
        <v>1</v>
      </c>
      <c r="I3" s="7" t="s">
        <v>58</v>
      </c>
      <c r="J3" s="7" t="s">
        <v>59</v>
      </c>
      <c r="K3" s="9" t="s">
        <v>46</v>
      </c>
      <c r="L3" s="9" t="s">
        <v>47</v>
      </c>
      <c r="M3" s="7" t="s">
        <v>48</v>
      </c>
      <c r="N3" s="7" t="s">
        <v>60</v>
      </c>
      <c r="O3" s="7" t="s">
        <v>61</v>
      </c>
      <c r="P3" s="7" t="s">
        <v>51</v>
      </c>
      <c r="Q3" s="10" t="s">
        <v>62</v>
      </c>
    </row>
    <row r="4" customFormat="false" ht="23.25" hidden="false" customHeight="true" outlineLevel="0" collapsed="false">
      <c r="A4" s="7" t="n">
        <v>3</v>
      </c>
      <c r="B4" s="7" t="s">
        <v>63</v>
      </c>
      <c r="C4" s="7" t="s">
        <v>64</v>
      </c>
      <c r="D4" s="7" t="s">
        <v>65</v>
      </c>
      <c r="E4" s="7" t="s">
        <v>41</v>
      </c>
      <c r="F4" s="7" t="s">
        <v>42</v>
      </c>
      <c r="G4" s="7" t="s">
        <v>66</v>
      </c>
      <c r="H4" s="8" t="n">
        <v>2</v>
      </c>
      <c r="I4" s="7" t="s">
        <v>58</v>
      </c>
      <c r="J4" s="7" t="s">
        <v>67</v>
      </c>
      <c r="K4" s="9" t="s">
        <v>46</v>
      </c>
      <c r="L4" s="9" t="s">
        <v>47</v>
      </c>
      <c r="M4" s="7" t="s">
        <v>48</v>
      </c>
      <c r="N4" s="7" t="s">
        <v>68</v>
      </c>
      <c r="O4" s="7" t="s">
        <v>69</v>
      </c>
      <c r="P4" s="7" t="s">
        <v>51</v>
      </c>
      <c r="Q4" s="10" t="s">
        <v>70</v>
      </c>
    </row>
    <row r="5" customFormat="false" ht="23.25" hidden="false" customHeight="true" outlineLevel="0" collapsed="false">
      <c r="A5" s="7" t="n">
        <v>4</v>
      </c>
      <c r="B5" s="7" t="s">
        <v>71</v>
      </c>
      <c r="C5" s="7" t="s">
        <v>72</v>
      </c>
      <c r="D5" s="7" t="s">
        <v>73</v>
      </c>
      <c r="E5" s="7" t="s">
        <v>74</v>
      </c>
      <c r="F5" s="7" t="s">
        <v>42</v>
      </c>
      <c r="G5" s="7" t="s">
        <v>66</v>
      </c>
      <c r="H5" s="8" t="n">
        <v>3</v>
      </c>
      <c r="I5" s="7" t="s">
        <v>58</v>
      </c>
      <c r="J5" s="7" t="s">
        <v>75</v>
      </c>
      <c r="K5" s="9" t="s">
        <v>46</v>
      </c>
      <c r="L5" s="9" t="s">
        <v>47</v>
      </c>
      <c r="M5" s="7" t="s">
        <v>76</v>
      </c>
      <c r="N5" s="7" t="s">
        <v>77</v>
      </c>
      <c r="O5" s="7" t="s">
        <v>78</v>
      </c>
      <c r="P5" s="7" t="s">
        <v>51</v>
      </c>
      <c r="Q5" s="10" t="s">
        <v>79</v>
      </c>
    </row>
    <row r="6" customFormat="false" ht="23.25" hidden="false" customHeight="true" outlineLevel="0" collapsed="false">
      <c r="A6" s="7" t="n">
        <v>5</v>
      </c>
      <c r="B6" s="7" t="s">
        <v>80</v>
      </c>
      <c r="C6" s="7" t="s">
        <v>81</v>
      </c>
      <c r="D6" s="7" t="s">
        <v>82</v>
      </c>
      <c r="E6" s="7" t="s">
        <v>41</v>
      </c>
      <c r="F6" s="7" t="s">
        <v>42</v>
      </c>
      <c r="G6" s="7" t="s">
        <v>43</v>
      </c>
      <c r="H6" s="8" t="n">
        <v>3</v>
      </c>
      <c r="I6" s="7" t="s">
        <v>83</v>
      </c>
      <c r="J6" s="7" t="s">
        <v>84</v>
      </c>
      <c r="K6" s="9" t="s">
        <v>46</v>
      </c>
      <c r="L6" s="9" t="s">
        <v>47</v>
      </c>
      <c r="M6" s="7" t="s">
        <v>76</v>
      </c>
      <c r="N6" s="7" t="s">
        <v>85</v>
      </c>
      <c r="O6" s="7" t="s">
        <v>86</v>
      </c>
      <c r="P6" s="7" t="s">
        <v>51</v>
      </c>
      <c r="Q6" s="10" t="s">
        <v>87</v>
      </c>
    </row>
    <row r="7" customFormat="false" ht="23.25" hidden="false" customHeight="true" outlineLevel="0" collapsed="false">
      <c r="A7" s="7" t="n">
        <v>6</v>
      </c>
      <c r="B7" s="7" t="s">
        <v>88</v>
      </c>
      <c r="C7" s="7" t="s">
        <v>89</v>
      </c>
      <c r="D7" s="7" t="s">
        <v>90</v>
      </c>
      <c r="E7" s="7" t="s">
        <v>56</v>
      </c>
      <c r="F7" s="7" t="s">
        <v>57</v>
      </c>
      <c r="G7" s="7" t="s">
        <v>43</v>
      </c>
      <c r="H7" s="8" t="n">
        <v>4</v>
      </c>
      <c r="I7" s="7" t="s">
        <v>58</v>
      </c>
      <c r="J7" s="7" t="s">
        <v>91</v>
      </c>
      <c r="K7" s="9" t="s">
        <v>46</v>
      </c>
      <c r="L7" s="9" t="s">
        <v>47</v>
      </c>
      <c r="M7" s="7" t="s">
        <v>48</v>
      </c>
      <c r="N7" s="7" t="s">
        <v>92</v>
      </c>
      <c r="O7" s="7" t="s">
        <v>93</v>
      </c>
      <c r="P7" s="7" t="s">
        <v>51</v>
      </c>
      <c r="Q7" s="10" t="s">
        <v>94</v>
      </c>
    </row>
    <row r="8" customFormat="false" ht="23.25" hidden="false" customHeight="true" outlineLevel="0" collapsed="false">
      <c r="A8" s="7" t="n">
        <v>7</v>
      </c>
      <c r="B8" s="7" t="s">
        <v>95</v>
      </c>
      <c r="C8" s="7" t="s">
        <v>72</v>
      </c>
      <c r="D8" s="7" t="s">
        <v>96</v>
      </c>
      <c r="E8" s="7" t="s">
        <v>74</v>
      </c>
      <c r="F8" s="7" t="s">
        <v>42</v>
      </c>
      <c r="G8" s="7" t="s">
        <v>43</v>
      </c>
      <c r="H8" s="8" t="n">
        <v>4</v>
      </c>
      <c r="I8" s="7" t="s">
        <v>97</v>
      </c>
      <c r="J8" s="7" t="s">
        <v>98</v>
      </c>
      <c r="K8" s="9" t="s">
        <v>46</v>
      </c>
      <c r="L8" s="9" t="s">
        <v>47</v>
      </c>
      <c r="M8" s="7" t="s">
        <v>76</v>
      </c>
      <c r="N8" s="7" t="s">
        <v>99</v>
      </c>
      <c r="O8" s="7" t="s">
        <v>100</v>
      </c>
      <c r="P8" s="7" t="s">
        <v>51</v>
      </c>
      <c r="Q8" s="10" t="s">
        <v>101</v>
      </c>
    </row>
    <row r="9" customFormat="false" ht="23.25" hidden="false" customHeight="true" outlineLevel="0" collapsed="false">
      <c r="A9" s="7" t="n">
        <v>8</v>
      </c>
      <c r="B9" s="7" t="s">
        <v>102</v>
      </c>
      <c r="C9" s="7" t="s">
        <v>72</v>
      </c>
      <c r="D9" s="7" t="s">
        <v>103</v>
      </c>
      <c r="E9" s="7" t="s">
        <v>74</v>
      </c>
      <c r="F9" s="7" t="s">
        <v>42</v>
      </c>
      <c r="G9" s="7" t="s">
        <v>43</v>
      </c>
      <c r="H9" s="8" t="n">
        <v>5</v>
      </c>
      <c r="I9" s="7" t="s">
        <v>58</v>
      </c>
      <c r="J9" s="7" t="s">
        <v>104</v>
      </c>
      <c r="K9" s="9" t="s">
        <v>46</v>
      </c>
      <c r="L9" s="9" t="s">
        <v>47</v>
      </c>
      <c r="M9" s="7" t="s">
        <v>48</v>
      </c>
      <c r="N9" s="7" t="s">
        <v>105</v>
      </c>
      <c r="O9" s="7" t="s">
        <v>106</v>
      </c>
      <c r="P9" s="7" t="s">
        <v>51</v>
      </c>
      <c r="Q9" s="10" t="s">
        <v>107</v>
      </c>
    </row>
    <row r="10" customFormat="false" ht="23.25" hidden="false" customHeight="true" outlineLevel="0" collapsed="false">
      <c r="A10" s="7" t="n">
        <v>9</v>
      </c>
      <c r="B10" s="7" t="s">
        <v>108</v>
      </c>
      <c r="C10" s="7" t="s">
        <v>72</v>
      </c>
      <c r="D10" s="7" t="s">
        <v>109</v>
      </c>
      <c r="E10" s="7" t="s">
        <v>74</v>
      </c>
      <c r="F10" s="7" t="s">
        <v>42</v>
      </c>
      <c r="G10" s="7" t="s">
        <v>110</v>
      </c>
      <c r="H10" s="8" t="n">
        <v>6</v>
      </c>
      <c r="I10" s="7" t="s">
        <v>58</v>
      </c>
      <c r="J10" s="7" t="s">
        <v>111</v>
      </c>
      <c r="K10" s="9" t="s">
        <v>46</v>
      </c>
      <c r="L10" s="9" t="s">
        <v>47</v>
      </c>
      <c r="M10" s="7" t="s">
        <v>48</v>
      </c>
      <c r="N10" s="7" t="s">
        <v>112</v>
      </c>
      <c r="O10" s="7" t="s">
        <v>113</v>
      </c>
      <c r="P10" s="7" t="s">
        <v>51</v>
      </c>
      <c r="Q10" s="10" t="s">
        <v>114</v>
      </c>
    </row>
    <row r="11" customFormat="false" ht="23.25" hidden="false" customHeight="true" outlineLevel="0" collapsed="false">
      <c r="A11" s="7" t="n">
        <v>10</v>
      </c>
      <c r="B11" s="7" t="s">
        <v>115</v>
      </c>
      <c r="C11" s="7" t="s">
        <v>89</v>
      </c>
      <c r="D11" s="7" t="s">
        <v>116</v>
      </c>
      <c r="E11" s="7" t="s">
        <v>56</v>
      </c>
      <c r="F11" s="7" t="s">
        <v>57</v>
      </c>
      <c r="G11" s="7" t="s">
        <v>43</v>
      </c>
      <c r="H11" s="8" t="n">
        <v>7</v>
      </c>
      <c r="I11" s="7" t="s">
        <v>58</v>
      </c>
      <c r="J11" s="7" t="s">
        <v>117</v>
      </c>
      <c r="K11" s="9" t="s">
        <v>46</v>
      </c>
      <c r="L11" s="9" t="s">
        <v>47</v>
      </c>
      <c r="M11" s="7" t="s">
        <v>76</v>
      </c>
      <c r="N11" s="7" t="s">
        <v>118</v>
      </c>
      <c r="O11" s="7" t="s">
        <v>119</v>
      </c>
      <c r="P11" s="7" t="s">
        <v>51</v>
      </c>
      <c r="Q11" s="10" t="s">
        <v>120</v>
      </c>
    </row>
    <row r="12" customFormat="false" ht="23.25" hidden="false" customHeight="true" outlineLevel="0" collapsed="false">
      <c r="A12" s="7" t="n">
        <v>11</v>
      </c>
      <c r="B12" s="7" t="s">
        <v>121</v>
      </c>
      <c r="C12" s="7" t="s">
        <v>72</v>
      </c>
      <c r="D12" s="7" t="s">
        <v>122</v>
      </c>
      <c r="E12" s="7" t="s">
        <v>74</v>
      </c>
      <c r="F12" s="7" t="s">
        <v>42</v>
      </c>
      <c r="G12" s="7" t="s">
        <v>43</v>
      </c>
      <c r="H12" s="8" t="n">
        <v>7</v>
      </c>
      <c r="I12" s="7" t="s">
        <v>97</v>
      </c>
      <c r="J12" s="7" t="s">
        <v>123</v>
      </c>
      <c r="K12" s="9" t="s">
        <v>46</v>
      </c>
      <c r="L12" s="9" t="s">
        <v>47</v>
      </c>
      <c r="M12" s="7" t="s">
        <v>48</v>
      </c>
      <c r="N12" s="7" t="s">
        <v>124</v>
      </c>
      <c r="O12" s="7" t="s">
        <v>125</v>
      </c>
      <c r="P12" s="7" t="s">
        <v>51</v>
      </c>
      <c r="Q12" s="10" t="s">
        <v>126</v>
      </c>
    </row>
    <row r="13" customFormat="false" ht="23.25" hidden="false" customHeight="true" outlineLevel="0" collapsed="false">
      <c r="A13" s="7" t="n">
        <v>12</v>
      </c>
      <c r="B13" s="7" t="s">
        <v>127</v>
      </c>
      <c r="C13" s="7" t="s">
        <v>64</v>
      </c>
      <c r="D13" s="7" t="s">
        <v>128</v>
      </c>
      <c r="E13" s="7" t="s">
        <v>56</v>
      </c>
      <c r="F13" s="7" t="s">
        <v>57</v>
      </c>
      <c r="G13" s="7" t="s">
        <v>43</v>
      </c>
      <c r="H13" s="8" t="n">
        <v>8</v>
      </c>
      <c r="I13" s="7" t="s">
        <v>58</v>
      </c>
      <c r="J13" s="7"/>
      <c r="K13" s="9" t="s">
        <v>46</v>
      </c>
      <c r="L13" s="9" t="s">
        <v>47</v>
      </c>
      <c r="M13" s="7" t="s">
        <v>76</v>
      </c>
      <c r="N13" s="7" t="s">
        <v>129</v>
      </c>
      <c r="O13" s="7" t="s">
        <v>130</v>
      </c>
      <c r="P13" s="7" t="s">
        <v>51</v>
      </c>
      <c r="Q13" s="10" t="s">
        <v>131</v>
      </c>
    </row>
    <row r="14" customFormat="false" ht="23.25" hidden="false" customHeight="true" outlineLevel="0" collapsed="false">
      <c r="A14" s="7" t="n">
        <v>13</v>
      </c>
      <c r="B14" s="7" t="s">
        <v>132</v>
      </c>
      <c r="C14" s="7" t="s">
        <v>54</v>
      </c>
      <c r="D14" s="7" t="s">
        <v>133</v>
      </c>
      <c r="E14" s="7" t="s">
        <v>41</v>
      </c>
      <c r="F14" s="7" t="s">
        <v>42</v>
      </c>
      <c r="G14" s="7" t="s">
        <v>43</v>
      </c>
      <c r="H14" s="8" t="n">
        <v>9</v>
      </c>
      <c r="I14" s="7" t="s">
        <v>58</v>
      </c>
      <c r="J14" s="7" t="s">
        <v>134</v>
      </c>
      <c r="K14" s="9" t="s">
        <v>46</v>
      </c>
      <c r="L14" s="9" t="s">
        <v>47</v>
      </c>
      <c r="M14" s="7" t="s">
        <v>48</v>
      </c>
      <c r="N14" s="7" t="s">
        <v>68</v>
      </c>
      <c r="O14" s="7" t="s">
        <v>135</v>
      </c>
      <c r="P14" s="7" t="s">
        <v>51</v>
      </c>
      <c r="Q14" s="10" t="s">
        <v>136</v>
      </c>
    </row>
    <row r="15" customFormat="false" ht="23.25" hidden="false" customHeight="true" outlineLevel="0" collapsed="false">
      <c r="A15" s="7" t="n">
        <v>14</v>
      </c>
      <c r="B15" s="7" t="s">
        <v>137</v>
      </c>
      <c r="C15" s="7" t="s">
        <v>54</v>
      </c>
      <c r="D15" s="7" t="s">
        <v>138</v>
      </c>
      <c r="E15" s="7" t="s">
        <v>56</v>
      </c>
      <c r="F15" s="7" t="s">
        <v>57</v>
      </c>
      <c r="G15" s="7" t="s">
        <v>43</v>
      </c>
      <c r="H15" s="8" t="n">
        <v>11</v>
      </c>
      <c r="I15" s="7" t="s">
        <v>58</v>
      </c>
      <c r="J15" s="7" t="s">
        <v>139</v>
      </c>
      <c r="K15" s="9" t="s">
        <v>46</v>
      </c>
      <c r="L15" s="9" t="s">
        <v>47</v>
      </c>
      <c r="M15" s="7" t="s">
        <v>48</v>
      </c>
      <c r="N15" s="7" t="s">
        <v>68</v>
      </c>
      <c r="O15" s="7" t="s">
        <v>140</v>
      </c>
      <c r="P15" s="7" t="s">
        <v>51</v>
      </c>
      <c r="Q15" s="10" t="s">
        <v>141</v>
      </c>
    </row>
    <row r="16" customFormat="false" ht="23.25" hidden="false" customHeight="true" outlineLevel="0" collapsed="false">
      <c r="A16" s="7" t="n">
        <v>15</v>
      </c>
      <c r="B16" s="7" t="s">
        <v>142</v>
      </c>
      <c r="C16" s="7" t="s">
        <v>54</v>
      </c>
      <c r="D16" s="7" t="s">
        <v>143</v>
      </c>
      <c r="E16" s="7" t="s">
        <v>74</v>
      </c>
      <c r="F16" s="7" t="s">
        <v>42</v>
      </c>
      <c r="G16" s="7" t="s">
        <v>43</v>
      </c>
      <c r="H16" s="8" t="n">
        <v>1</v>
      </c>
      <c r="I16" s="7" t="s">
        <v>97</v>
      </c>
      <c r="J16" s="7" t="s">
        <v>144</v>
      </c>
      <c r="K16" s="9" t="s">
        <v>46</v>
      </c>
      <c r="L16" s="9" t="s">
        <v>47</v>
      </c>
      <c r="M16" s="7" t="s">
        <v>48</v>
      </c>
      <c r="N16" s="7" t="s">
        <v>145</v>
      </c>
      <c r="O16" s="7" t="s">
        <v>146</v>
      </c>
      <c r="P16" s="7" t="s">
        <v>51</v>
      </c>
      <c r="Q16" s="10" t="s">
        <v>147</v>
      </c>
    </row>
    <row r="17" customFormat="false" ht="15" hidden="false" customHeight="true" outlineLevel="0" collapsed="false">
      <c r="A17" s="7" t="n">
        <v>16</v>
      </c>
      <c r="B17" s="7" t="s">
        <v>148</v>
      </c>
      <c r="C17" s="7" t="s">
        <v>54</v>
      </c>
      <c r="D17" s="7" t="s">
        <v>149</v>
      </c>
      <c r="E17" s="7" t="s">
        <v>56</v>
      </c>
      <c r="F17" s="7" t="s">
        <v>57</v>
      </c>
      <c r="G17" s="7" t="s">
        <v>150</v>
      </c>
      <c r="H17" s="8" t="n">
        <v>12</v>
      </c>
      <c r="I17" s="7" t="s">
        <v>58</v>
      </c>
      <c r="J17" s="7" t="s">
        <v>151</v>
      </c>
      <c r="K17" s="9" t="s">
        <v>46</v>
      </c>
      <c r="L17" s="9" t="s">
        <v>47</v>
      </c>
      <c r="M17" s="7" t="s">
        <v>76</v>
      </c>
      <c r="N17" s="7" t="s">
        <v>152</v>
      </c>
      <c r="O17" s="7" t="s">
        <v>153</v>
      </c>
      <c r="P17" s="7" t="s">
        <v>51</v>
      </c>
      <c r="Q17" s="10" t="s">
        <v>154</v>
      </c>
    </row>
    <row r="18" customFormat="false" ht="34.5" hidden="false" customHeight="true" outlineLevel="0" collapsed="false">
      <c r="A18" s="7" t="n">
        <v>17</v>
      </c>
      <c r="B18" s="7" t="s">
        <v>155</v>
      </c>
      <c r="C18" s="7" t="s">
        <v>72</v>
      </c>
      <c r="D18" s="7" t="s">
        <v>156</v>
      </c>
      <c r="E18" s="7" t="s">
        <v>74</v>
      </c>
      <c r="F18" s="7" t="s">
        <v>42</v>
      </c>
      <c r="G18" s="7" t="s">
        <v>110</v>
      </c>
      <c r="H18" s="8" t="n">
        <v>13</v>
      </c>
      <c r="I18" s="7" t="s">
        <v>157</v>
      </c>
      <c r="J18" s="7" t="s">
        <v>158</v>
      </c>
      <c r="K18" s="9" t="s">
        <v>46</v>
      </c>
      <c r="L18" s="9" t="s">
        <v>47</v>
      </c>
      <c r="M18" s="7" t="s">
        <v>76</v>
      </c>
      <c r="N18" s="7" t="s">
        <v>159</v>
      </c>
      <c r="O18" s="7" t="s">
        <v>160</v>
      </c>
      <c r="P18" s="7" t="s">
        <v>51</v>
      </c>
      <c r="Q18" s="10" t="s">
        <v>161</v>
      </c>
    </row>
    <row r="19" customFormat="false" ht="23.25" hidden="false" customHeight="true" outlineLevel="0" collapsed="false">
      <c r="A19" s="7" t="n">
        <v>18</v>
      </c>
      <c r="B19" s="7" t="s">
        <v>162</v>
      </c>
      <c r="C19" s="7" t="s">
        <v>163</v>
      </c>
      <c r="D19" s="7" t="s">
        <v>164</v>
      </c>
      <c r="E19" s="7" t="s">
        <v>56</v>
      </c>
      <c r="F19" s="7" t="s">
        <v>42</v>
      </c>
      <c r="G19" s="7" t="s">
        <v>43</v>
      </c>
      <c r="H19" s="8" t="n">
        <v>13</v>
      </c>
      <c r="I19" s="7" t="s">
        <v>58</v>
      </c>
      <c r="J19" s="7" t="s">
        <v>165</v>
      </c>
      <c r="K19" s="9" t="s">
        <v>46</v>
      </c>
      <c r="L19" s="9" t="s">
        <v>47</v>
      </c>
      <c r="M19" s="7" t="s">
        <v>76</v>
      </c>
      <c r="N19" s="7" t="s">
        <v>166</v>
      </c>
      <c r="O19" s="7" t="s">
        <v>167</v>
      </c>
      <c r="P19" s="7" t="s">
        <v>51</v>
      </c>
      <c r="Q19" s="10" t="s">
        <v>168</v>
      </c>
    </row>
    <row r="20" customFormat="false" ht="15" hidden="false" customHeight="true" outlineLevel="0" collapsed="false">
      <c r="A20" s="7" t="n">
        <v>19</v>
      </c>
      <c r="B20" s="7" t="s">
        <v>169</v>
      </c>
      <c r="C20" s="7" t="s">
        <v>89</v>
      </c>
      <c r="D20" s="7" t="s">
        <v>170</v>
      </c>
      <c r="E20" s="7" t="s">
        <v>56</v>
      </c>
      <c r="F20" s="7" t="s">
        <v>57</v>
      </c>
      <c r="G20" s="7" t="s">
        <v>43</v>
      </c>
      <c r="H20" s="8"/>
      <c r="I20" s="7" t="s">
        <v>171</v>
      </c>
      <c r="J20" s="7" t="s">
        <v>172</v>
      </c>
      <c r="K20" s="9" t="s">
        <v>46</v>
      </c>
      <c r="L20" s="9" t="s">
        <v>47</v>
      </c>
      <c r="M20" s="7" t="s">
        <v>173</v>
      </c>
      <c r="N20" s="7" t="s">
        <v>174</v>
      </c>
      <c r="O20" s="7" t="s">
        <v>175</v>
      </c>
      <c r="P20" s="7" t="s">
        <v>51</v>
      </c>
      <c r="Q20" s="10" t="s">
        <v>176</v>
      </c>
    </row>
  </sheetData>
  <autoFilter ref="A1:Q20"/>
  <conditionalFormatting sqref="G2:G20">
    <cfRule type="cellIs" priority="2" operator="equal" aboveAverage="0" equalAverage="0" bottom="0" percent="0" rank="0" text="" dxfId="9">
      <formula>"High"</formula>
    </cfRule>
    <cfRule type="cellIs" priority="3" operator="equal" aboveAverage="0" equalAverage="0" bottom="0" percent="0" rank="0" text="" dxfId="10">
      <formula>"Medium"</formula>
    </cfRule>
    <cfRule type="cellIs" priority="4" operator="equal" aboveAverage="0" equalAverage="0" bottom="0" percent="0" rank="0" text="" dxfId="11">
      <formula>"Low"</formula>
    </cfRule>
    <cfRule type="cellIs" priority="5" operator="equal" aboveAverage="0" equalAverage="0" bottom="0" percent="0" rank="0" text="" dxfId="12">
      <formula>"None"</formula>
    </cfRule>
  </conditionalFormatting>
  <dataValidations count="1">
    <dataValidation allowBlank="true" errorStyle="stop" operator="between" showDropDown="false" showErrorMessage="false" showInputMessage="false" sqref="K2:K20" type="list">
      <formula1>"Not validated,Works on both,Works on Pay only,Works on Billing only,Blocked,Not possible"</formula1>
      <formula2>0</formula2>
    </dataValidation>
  </dataValidations>
  <hyperlinks>
    <hyperlink ref="Q2" r:id="rId1" display="https://billwerk.atlassian.net/wiki/spaces/SKILL/pages/11604164621"/>
    <hyperlink ref="Q3" r:id="rId2" display="https://billwerk.atlassian.net/wiki/spaces/SKILL/pages/11603771396"/>
    <hyperlink ref="Q4" r:id="rId3" display="https://billwerk.atlassian.net/wiki/spaces/SKILL/pages/11603902520"/>
    <hyperlink ref="Q5" r:id="rId4" display="https://billwerk.atlassian.net/wiki/spaces/SKILL/pages/11603869698"/>
    <hyperlink ref="Q6" r:id="rId5" display="https://billwerk.atlassian.net/wiki/spaces/SKILL/pages/11604590625"/>
    <hyperlink ref="Q7" r:id="rId6" display="https://billwerk.atlassian.net/wiki/spaces/SKILL/pages/11603705881"/>
    <hyperlink ref="Q8" r:id="rId7" display="https://billwerk.atlassian.net/wiki/spaces/SKILL/pages/11604295692"/>
    <hyperlink ref="Q9" r:id="rId8" display="https://billwerk.atlassian.net/wiki/spaces/SKILL/pages/11604230686"/>
    <hyperlink ref="Q10" r:id="rId9" display="https://billwerk.atlassian.net/wiki/spaces/SKILL/pages/11603902545"/>
    <hyperlink ref="Q11" r:id="rId10" display="https://billwerk.atlassian.net/wiki/spaces/SKILL/pages/11603705904"/>
    <hyperlink ref="Q12" r:id="rId11" display="https://billwerk.atlassian.net/wiki/spaces/SKILL/pages/11603902568"/>
    <hyperlink ref="Q13" r:id="rId12" display="https://billwerk.atlassian.net/wiki/spaces/SKILL/pages/11604557894"/>
    <hyperlink ref="Q14" r:id="rId13" display="https://billwerk.atlassian.net/wiki/spaces/SKILL/pages/11603935243"/>
    <hyperlink ref="Q15" r:id="rId14" display="https://billwerk.atlassian.net/wiki/spaces/SKILL/pages/11604328484"/>
    <hyperlink ref="Q16" r:id="rId15" display="https://billwerk.atlassian.net/wiki/spaces/SKILL/pages/11604131862"/>
    <hyperlink ref="Q17" r:id="rId16" display="https://billwerk.atlassian.net/wiki/spaces/SKILL/pages/11604066330"/>
    <hyperlink ref="Q18" r:id="rId17" display="https://billwerk.atlassian.net/wiki/spaces/SKILL/pages/11604393997"/>
    <hyperlink ref="Q19" r:id="rId18" display="https://billwerk.atlassian.net/wiki/spaces/SKILL/pages/11604492293"/>
    <hyperlink ref="Q20" r:id="rId19" display="https://billwerk.atlassian.net/wiki/spaces/SKILL/pages/1160400077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40"/>
    <col collapsed="false" customWidth="true" hidden="false" outlineLevel="0" max="5" min="5" style="1" width="42"/>
    <col collapsed="false" customWidth="true" hidden="false" outlineLevel="0" max="6" min="6" style="1" width="50"/>
    <col collapsed="false" customWidth="true" hidden="false" outlineLevel="0" max="7" min="7" style="1" width="36"/>
  </cols>
  <sheetData>
    <row r="1" customFormat="false" ht="23.25" hidden="false" customHeight="true" outlineLevel="0" collapsed="false">
      <c r="A1" s="6" t="s">
        <v>22</v>
      </c>
      <c r="B1" s="6" t="s">
        <v>27</v>
      </c>
      <c r="C1" s="6" t="s">
        <v>28</v>
      </c>
      <c r="D1" s="6" t="s">
        <v>177</v>
      </c>
      <c r="E1" s="6" t="s">
        <v>178</v>
      </c>
      <c r="F1" s="6" t="s">
        <v>179</v>
      </c>
      <c r="G1" s="6" t="s">
        <v>180</v>
      </c>
    </row>
    <row r="2" customFormat="false" ht="34.5" hidden="false" customHeight="true" outlineLevel="0" collapsed="false">
      <c r="A2" s="7" t="s">
        <v>108</v>
      </c>
      <c r="B2" s="7" t="s">
        <v>110</v>
      </c>
      <c r="C2" s="8" t="n">
        <f aca="false">IFERROR(INDEX(Skills!$H$2:$H$20,MATCH(A2,Skills!$B$2:$B$20,0)),"-")</f>
        <v>6</v>
      </c>
      <c r="D2" s="7" t="s">
        <v>181</v>
      </c>
      <c r="E2" s="7" t="s">
        <v>182</v>
      </c>
      <c r="F2" s="7" t="s">
        <v>183</v>
      </c>
      <c r="G2" s="7" t="s">
        <v>184</v>
      </c>
    </row>
    <row r="3" customFormat="false" ht="34.5" hidden="false" customHeight="true" outlineLevel="0" collapsed="false">
      <c r="A3" s="7" t="s">
        <v>155</v>
      </c>
      <c r="B3" s="7" t="s">
        <v>110</v>
      </c>
      <c r="C3" s="8" t="n">
        <f aca="false">IFERROR(INDEX(Skills!$H$2:$H$20,MATCH(A3,Skills!$B$2:$B$20,0)),"-")</f>
        <v>13</v>
      </c>
      <c r="D3" s="7" t="s">
        <v>185</v>
      </c>
      <c r="E3" s="7" t="s">
        <v>186</v>
      </c>
      <c r="F3" s="7" t="s">
        <v>187</v>
      </c>
      <c r="G3" s="7" t="s">
        <v>188</v>
      </c>
    </row>
    <row r="4" customFormat="false" ht="23.25" hidden="false" customHeight="true" outlineLevel="0" collapsed="false">
      <c r="A4" s="7" t="s">
        <v>148</v>
      </c>
      <c r="B4" s="7" t="s">
        <v>150</v>
      </c>
      <c r="C4" s="8" t="n">
        <f aca="false">IFERROR(INDEX(Skills!$H$2:$H$20,MATCH(A4,Skills!$B$2:$B$20,0)),"-")</f>
        <v>12</v>
      </c>
      <c r="D4" s="7" t="s">
        <v>189</v>
      </c>
      <c r="E4" s="7" t="s">
        <v>190</v>
      </c>
      <c r="F4" s="7" t="s">
        <v>191</v>
      </c>
      <c r="G4" s="7" t="s">
        <v>192</v>
      </c>
    </row>
    <row r="5" customFormat="false" ht="23.25" hidden="false" customHeight="true" outlineLevel="0" collapsed="false">
      <c r="A5" s="7" t="s">
        <v>71</v>
      </c>
      <c r="B5" s="7" t="s">
        <v>66</v>
      </c>
      <c r="C5" s="8" t="n">
        <f aca="false">IFERROR(INDEX(Skills!$H$2:$H$20,MATCH(A5,Skills!$B$2:$B$20,0)),"-")</f>
        <v>3</v>
      </c>
      <c r="D5" s="7" t="s">
        <v>193</v>
      </c>
      <c r="E5" s="7" t="s">
        <v>194</v>
      </c>
      <c r="F5" s="7" t="s">
        <v>195</v>
      </c>
      <c r="G5" s="7" t="s">
        <v>196</v>
      </c>
    </row>
    <row r="6" customFormat="false" ht="23.25" hidden="false" customHeight="true" outlineLevel="0" collapsed="false">
      <c r="A6" s="7" t="s">
        <v>63</v>
      </c>
      <c r="B6" s="7" t="s">
        <v>66</v>
      </c>
      <c r="C6" s="8" t="n">
        <f aca="false">IFERROR(INDEX(Skills!$H$2:$H$20,MATCH(A6,Skills!$B$2:$B$20,0)),"-")</f>
        <v>2</v>
      </c>
      <c r="D6" s="7" t="s">
        <v>197</v>
      </c>
      <c r="E6" s="7" t="s">
        <v>198</v>
      </c>
      <c r="F6" s="7" t="s">
        <v>199</v>
      </c>
      <c r="G6" s="7" t="s">
        <v>200</v>
      </c>
    </row>
    <row r="8" customFormat="false" ht="15" hidden="false" customHeight="true" outlineLevel="0" collapsed="false">
      <c r="A8" s="11" t="s">
        <v>201</v>
      </c>
    </row>
    <row r="9" customFormat="false" ht="15" hidden="false" customHeight="true" outlineLevel="0" collapsed="false">
      <c r="A9" s="12" t="s">
        <v>202</v>
      </c>
      <c r="B9" s="12"/>
      <c r="C9" s="12"/>
      <c r="D9" s="12"/>
      <c r="E9" s="12"/>
      <c r="F9" s="12"/>
      <c r="G9" s="12"/>
    </row>
    <row r="10" customFormat="false" ht="15" hidden="false" customHeight="true" outlineLevel="0" collapsed="false">
      <c r="A10" s="12" t="s">
        <v>203</v>
      </c>
      <c r="B10" s="12"/>
      <c r="C10" s="12"/>
      <c r="D10" s="12"/>
      <c r="E10" s="12"/>
      <c r="F10" s="12"/>
      <c r="G10" s="12"/>
    </row>
    <row r="11" customFormat="false" ht="15" hidden="false" customHeight="true" outlineLevel="0" collapsed="false">
      <c r="A11" s="12" t="s">
        <v>204</v>
      </c>
      <c r="B11" s="12"/>
      <c r="C11" s="12"/>
      <c r="D11" s="12"/>
      <c r="E11" s="12"/>
      <c r="F11" s="12"/>
      <c r="G11" s="12"/>
    </row>
    <row r="12" customFormat="false" ht="15" hidden="false" customHeight="true" outlineLevel="0" collapsed="false">
      <c r="A12" s="12" t="s">
        <v>205</v>
      </c>
      <c r="B12" s="12"/>
      <c r="C12" s="12"/>
      <c r="D12" s="12"/>
      <c r="E12" s="12"/>
      <c r="F12" s="12"/>
      <c r="G12" s="12"/>
    </row>
  </sheetData>
  <autoFilter ref="A1:G6"/>
  <mergeCells count="4">
    <mergeCell ref="A9:G9"/>
    <mergeCell ref="A10:G10"/>
    <mergeCell ref="A11:G11"/>
    <mergeCell ref="A12:G12"/>
  </mergeCells>
  <conditionalFormatting sqref="B2:B6">
    <cfRule type="cellIs" priority="2" operator="equal" aboveAverage="0" equalAverage="0" bottom="0" percent="0" rank="0" text="" dxfId="9">
      <formula>"High"</formula>
    </cfRule>
    <cfRule type="cellIs" priority="3" operator="equal" aboveAverage="0" equalAverage="0" bottom="0" percent="0" rank="0" text="" dxfId="10">
      <formula>"Medium"</formula>
    </cfRule>
    <cfRule type="cellIs" priority="4" operator="equal" aboveAverage="0" equalAverage="0" bottom="0" percent="0" rank="0" text="" dxfId="11">
      <formula>"Low"</formula>
    </cfRule>
    <cfRule type="cellIs" priority="5" operator="equal" aboveAverage="0" equalAverage="0" bottom="0" percent="0" rank="0" text="" dxfId="12">
      <formula>"None"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8"/>
    <col collapsed="false" customWidth="true" hidden="false" outlineLevel="0" max="8" min="8" style="1" width="38"/>
    <col collapsed="false" customWidth="true" hidden="false" outlineLevel="0" max="9" min="9" style="1" width="34"/>
    <col collapsed="false" customWidth="true" hidden="false" outlineLevel="0" max="10" min="10" style="1" width="40"/>
    <col collapsed="false" customWidth="true" hidden="false" outlineLevel="0" max="11" min="11" style="1" width="12"/>
    <col collapsed="false" customWidth="true" hidden="false" outlineLevel="0" max="12" min="12" style="1" width="28"/>
    <col collapsed="false" customWidth="true" hidden="false" outlineLevel="0" max="13" min="13" style="1" width="10"/>
    <col collapsed="false" customWidth="true" hidden="false" outlineLevel="0" max="14" min="14" style="1" width="16"/>
    <col collapsed="false" customWidth="true" hidden="false" outlineLevel="0" max="15" min="15" style="1" width="13"/>
  </cols>
  <sheetData>
    <row r="1" customFormat="false" ht="23.25" hidden="false" customHeight="true" outlineLevel="0" collapsed="false">
      <c r="A1" s="6" t="s">
        <v>206</v>
      </c>
      <c r="B1" s="6" t="s">
        <v>207</v>
      </c>
      <c r="C1" s="6" t="s">
        <v>208</v>
      </c>
      <c r="D1" s="6" t="s">
        <v>209</v>
      </c>
      <c r="E1" s="6" t="s">
        <v>210</v>
      </c>
      <c r="F1" s="6" t="s">
        <v>211</v>
      </c>
      <c r="G1" s="6" t="s">
        <v>212</v>
      </c>
      <c r="H1" s="6" t="s">
        <v>213</v>
      </c>
      <c r="I1" s="6" t="s">
        <v>214</v>
      </c>
      <c r="J1" s="6" t="s">
        <v>215</v>
      </c>
      <c r="K1" s="6" t="s">
        <v>216</v>
      </c>
      <c r="L1" s="6" t="s">
        <v>217</v>
      </c>
      <c r="M1" s="6" t="s">
        <v>218</v>
      </c>
      <c r="N1" s="6" t="s">
        <v>32</v>
      </c>
      <c r="O1" s="6" t="s">
        <v>219</v>
      </c>
    </row>
    <row r="2" customFormat="false" ht="34.5" hidden="false" customHeight="true" outlineLevel="0" collapsed="false">
      <c r="A2" s="8" t="n">
        <v>1</v>
      </c>
      <c r="B2" s="13" t="n">
        <v>46321</v>
      </c>
      <c r="C2" s="7" t="s">
        <v>220</v>
      </c>
      <c r="D2" s="7" t="s">
        <v>221</v>
      </c>
      <c r="E2" s="7" t="s">
        <v>53</v>
      </c>
      <c r="F2" s="7" t="s">
        <v>56</v>
      </c>
      <c r="G2" s="7" t="s">
        <v>222</v>
      </c>
      <c r="H2" s="7" t="s">
        <v>223</v>
      </c>
      <c r="I2" s="7" t="s">
        <v>224</v>
      </c>
      <c r="J2" s="7" t="s">
        <v>225</v>
      </c>
      <c r="K2" s="13" t="n">
        <v>46317</v>
      </c>
      <c r="L2" s="7" t="s">
        <v>226</v>
      </c>
      <c r="M2" s="14"/>
      <c r="N2" s="9"/>
      <c r="O2" s="9" t="s">
        <v>227</v>
      </c>
    </row>
    <row r="3" customFormat="false" ht="34.5" hidden="false" customHeight="true" outlineLevel="0" collapsed="false">
      <c r="A3" s="8" t="n">
        <v>2</v>
      </c>
      <c r="B3" s="13" t="n">
        <v>46328</v>
      </c>
      <c r="C3" s="7" t="s">
        <v>224</v>
      </c>
      <c r="D3" s="7" t="s">
        <v>228</v>
      </c>
      <c r="E3" s="7" t="s">
        <v>63</v>
      </c>
      <c r="F3" s="7" t="s">
        <v>41</v>
      </c>
      <c r="G3" s="7" t="s">
        <v>224</v>
      </c>
      <c r="H3" s="7" t="s">
        <v>229</v>
      </c>
      <c r="I3" s="7" t="s">
        <v>230</v>
      </c>
      <c r="J3" s="7" t="s">
        <v>231</v>
      </c>
      <c r="K3" s="13" t="n">
        <v>46324</v>
      </c>
      <c r="L3" s="7" t="s">
        <v>232</v>
      </c>
      <c r="M3" s="14"/>
      <c r="N3" s="9"/>
      <c r="O3" s="9" t="s">
        <v>227</v>
      </c>
    </row>
    <row r="4" customFormat="false" ht="23.25" hidden="false" customHeight="true" outlineLevel="0" collapsed="false">
      <c r="A4" s="8" t="n">
        <v>3</v>
      </c>
      <c r="B4" s="13" t="n">
        <v>46335</v>
      </c>
      <c r="C4" s="7" t="s">
        <v>233</v>
      </c>
      <c r="D4" s="7" t="s">
        <v>234</v>
      </c>
      <c r="E4" s="7" t="s">
        <v>71</v>
      </c>
      <c r="F4" s="7" t="s">
        <v>74</v>
      </c>
      <c r="G4" s="7" t="s">
        <v>235</v>
      </c>
      <c r="H4" s="7" t="s">
        <v>236</v>
      </c>
      <c r="I4" s="7" t="s">
        <v>237</v>
      </c>
      <c r="J4" s="7" t="s">
        <v>238</v>
      </c>
      <c r="K4" s="13" t="n">
        <v>46331</v>
      </c>
      <c r="L4" s="7" t="s">
        <v>232</v>
      </c>
      <c r="M4" s="14"/>
      <c r="N4" s="9"/>
      <c r="O4" s="9" t="s">
        <v>227</v>
      </c>
    </row>
    <row r="5" customFormat="false" ht="34.5" hidden="false" customHeight="true" outlineLevel="0" collapsed="false">
      <c r="A5" s="8" t="n">
        <v>4</v>
      </c>
      <c r="B5" s="13" t="n">
        <v>46342</v>
      </c>
      <c r="C5" s="7" t="s">
        <v>239</v>
      </c>
      <c r="D5" s="7" t="s">
        <v>240</v>
      </c>
      <c r="E5" s="7" t="s">
        <v>88</v>
      </c>
      <c r="F5" s="7" t="s">
        <v>56</v>
      </c>
      <c r="G5" s="7" t="s">
        <v>241</v>
      </c>
      <c r="H5" s="7" t="s">
        <v>242</v>
      </c>
      <c r="I5" s="7" t="s">
        <v>224</v>
      </c>
      <c r="J5" s="7" t="s">
        <v>243</v>
      </c>
      <c r="K5" s="13" t="n">
        <v>46338</v>
      </c>
      <c r="L5" s="7" t="s">
        <v>232</v>
      </c>
      <c r="M5" s="14"/>
      <c r="N5" s="9"/>
      <c r="O5" s="9" t="s">
        <v>227</v>
      </c>
    </row>
    <row r="6" customFormat="false" ht="34.5" hidden="false" customHeight="true" outlineLevel="0" collapsed="false">
      <c r="A6" s="8" t="n">
        <v>5</v>
      </c>
      <c r="B6" s="13" t="n">
        <v>46349</v>
      </c>
      <c r="C6" s="7" t="s">
        <v>244</v>
      </c>
      <c r="D6" s="7" t="s">
        <v>245</v>
      </c>
      <c r="E6" s="7" t="s">
        <v>102</v>
      </c>
      <c r="F6" s="7" t="s">
        <v>74</v>
      </c>
      <c r="G6" s="7" t="s">
        <v>246</v>
      </c>
      <c r="H6" s="7" t="s">
        <v>247</v>
      </c>
      <c r="I6" s="7" t="s">
        <v>224</v>
      </c>
      <c r="J6" s="7" t="s">
        <v>248</v>
      </c>
      <c r="K6" s="13" t="n">
        <v>46345</v>
      </c>
      <c r="L6" s="7" t="s">
        <v>249</v>
      </c>
      <c r="M6" s="14"/>
      <c r="N6" s="9"/>
      <c r="O6" s="9" t="s">
        <v>227</v>
      </c>
    </row>
    <row r="7" customFormat="false" ht="34.5" hidden="false" customHeight="true" outlineLevel="0" collapsed="false">
      <c r="A7" s="8" t="n">
        <v>6</v>
      </c>
      <c r="B7" s="13" t="n">
        <v>46356</v>
      </c>
      <c r="C7" s="7" t="s">
        <v>250</v>
      </c>
      <c r="D7" s="7" t="s">
        <v>251</v>
      </c>
      <c r="E7" s="7" t="s">
        <v>108</v>
      </c>
      <c r="F7" s="7" t="s">
        <v>74</v>
      </c>
      <c r="G7" s="7" t="s">
        <v>252</v>
      </c>
      <c r="H7" s="7" t="s">
        <v>253</v>
      </c>
      <c r="I7" s="7" t="s">
        <v>254</v>
      </c>
      <c r="J7" s="7" t="s">
        <v>255</v>
      </c>
      <c r="K7" s="13" t="n">
        <v>46352</v>
      </c>
      <c r="L7" s="7" t="s">
        <v>256</v>
      </c>
      <c r="M7" s="14"/>
      <c r="N7" s="9"/>
      <c r="O7" s="9" t="s">
        <v>227</v>
      </c>
    </row>
    <row r="8" customFormat="false" ht="23.25" hidden="false" customHeight="true" outlineLevel="0" collapsed="false">
      <c r="A8" s="8" t="n">
        <v>7</v>
      </c>
      <c r="B8" s="13" t="n">
        <v>46363</v>
      </c>
      <c r="C8" s="7" t="s">
        <v>257</v>
      </c>
      <c r="D8" s="7" t="s">
        <v>258</v>
      </c>
      <c r="E8" s="7" t="s">
        <v>115</v>
      </c>
      <c r="F8" s="7" t="s">
        <v>56</v>
      </c>
      <c r="G8" s="7" t="s">
        <v>259</v>
      </c>
      <c r="H8" s="7" t="s">
        <v>260</v>
      </c>
      <c r="I8" s="7" t="s">
        <v>224</v>
      </c>
      <c r="J8" s="7" t="s">
        <v>238</v>
      </c>
      <c r="K8" s="13" t="n">
        <v>46359</v>
      </c>
      <c r="L8" s="7" t="s">
        <v>232</v>
      </c>
      <c r="M8" s="14"/>
      <c r="N8" s="9"/>
      <c r="O8" s="9" t="s">
        <v>227</v>
      </c>
    </row>
    <row r="9" customFormat="false" ht="34.5" hidden="false" customHeight="true" outlineLevel="0" collapsed="false">
      <c r="A9" s="8" t="n">
        <v>8</v>
      </c>
      <c r="B9" s="13" t="n">
        <v>46370</v>
      </c>
      <c r="C9" s="7" t="s">
        <v>261</v>
      </c>
      <c r="D9" s="7" t="s">
        <v>262</v>
      </c>
      <c r="E9" s="7" t="s">
        <v>127</v>
      </c>
      <c r="F9" s="7" t="s">
        <v>56</v>
      </c>
      <c r="G9" s="7" t="s">
        <v>263</v>
      </c>
      <c r="H9" s="7" t="s">
        <v>264</v>
      </c>
      <c r="I9" s="7" t="s">
        <v>224</v>
      </c>
      <c r="J9" s="7" t="s">
        <v>265</v>
      </c>
      <c r="K9" s="13" t="n">
        <v>46366</v>
      </c>
      <c r="L9" s="7" t="s">
        <v>232</v>
      </c>
      <c r="M9" s="14"/>
      <c r="N9" s="9"/>
      <c r="O9" s="9" t="s">
        <v>227</v>
      </c>
    </row>
    <row r="10" customFormat="false" ht="34.5" hidden="false" customHeight="true" outlineLevel="0" collapsed="false">
      <c r="A10" s="8" t="n">
        <v>9</v>
      </c>
      <c r="B10" s="13" t="n">
        <v>46377</v>
      </c>
      <c r="C10" s="7" t="s">
        <v>266</v>
      </c>
      <c r="D10" s="7" t="s">
        <v>267</v>
      </c>
      <c r="E10" s="7" t="s">
        <v>132</v>
      </c>
      <c r="F10" s="7" t="s">
        <v>41</v>
      </c>
      <c r="G10" s="7" t="s">
        <v>224</v>
      </c>
      <c r="H10" s="7" t="s">
        <v>268</v>
      </c>
      <c r="I10" s="7" t="s">
        <v>224</v>
      </c>
      <c r="J10" s="7" t="s">
        <v>269</v>
      </c>
      <c r="K10" s="13" t="n">
        <v>46373</v>
      </c>
      <c r="L10" s="7" t="s">
        <v>270</v>
      </c>
      <c r="M10" s="14"/>
      <c r="N10" s="9"/>
      <c r="O10" s="9" t="s">
        <v>227</v>
      </c>
    </row>
    <row r="11" customFormat="false" ht="23.25" hidden="false" customHeight="true" outlineLevel="0" collapsed="false">
      <c r="A11" s="8" t="n">
        <v>10</v>
      </c>
      <c r="B11" s="13" t="n">
        <v>46384</v>
      </c>
      <c r="C11" s="7" t="s">
        <v>271</v>
      </c>
      <c r="D11" s="7" t="s">
        <v>272</v>
      </c>
      <c r="E11" s="7" t="s">
        <v>224</v>
      </c>
      <c r="F11" s="7" t="s">
        <v>41</v>
      </c>
      <c r="G11" s="7" t="s">
        <v>224</v>
      </c>
      <c r="H11" s="7" t="s">
        <v>273</v>
      </c>
      <c r="I11" s="7" t="s">
        <v>274</v>
      </c>
      <c r="J11" s="7" t="s">
        <v>275</v>
      </c>
      <c r="K11" s="13"/>
      <c r="L11" s="7" t="s">
        <v>276</v>
      </c>
      <c r="M11" s="14"/>
      <c r="N11" s="9"/>
      <c r="O11" s="9" t="s">
        <v>227</v>
      </c>
    </row>
    <row r="12" customFormat="false" ht="34.5" hidden="false" customHeight="true" outlineLevel="0" collapsed="false">
      <c r="A12" s="8" t="n">
        <v>11</v>
      </c>
      <c r="B12" s="13" t="n">
        <v>46391</v>
      </c>
      <c r="C12" s="7" t="s">
        <v>277</v>
      </c>
      <c r="D12" s="7" t="s">
        <v>278</v>
      </c>
      <c r="E12" s="7" t="s">
        <v>137</v>
      </c>
      <c r="F12" s="7" t="s">
        <v>56</v>
      </c>
      <c r="G12" s="7" t="s">
        <v>222</v>
      </c>
      <c r="H12" s="7" t="s">
        <v>279</v>
      </c>
      <c r="I12" s="7" t="s">
        <v>224</v>
      </c>
      <c r="J12" s="7" t="s">
        <v>280</v>
      </c>
      <c r="K12" s="13" t="n">
        <v>46387</v>
      </c>
      <c r="L12" s="7" t="s">
        <v>232</v>
      </c>
      <c r="M12" s="14"/>
      <c r="N12" s="9"/>
      <c r="O12" s="9" t="s">
        <v>227</v>
      </c>
    </row>
    <row r="13" customFormat="false" ht="23.25" hidden="false" customHeight="true" outlineLevel="0" collapsed="false">
      <c r="A13" s="8" t="n">
        <v>12</v>
      </c>
      <c r="B13" s="13" t="n">
        <v>46398</v>
      </c>
      <c r="C13" s="7" t="s">
        <v>281</v>
      </c>
      <c r="D13" s="7" t="s">
        <v>282</v>
      </c>
      <c r="E13" s="7" t="s">
        <v>148</v>
      </c>
      <c r="F13" s="7" t="s">
        <v>56</v>
      </c>
      <c r="G13" s="7" t="s">
        <v>283</v>
      </c>
      <c r="H13" s="7" t="s">
        <v>284</v>
      </c>
      <c r="I13" s="7" t="s">
        <v>285</v>
      </c>
      <c r="J13" s="7" t="s">
        <v>238</v>
      </c>
      <c r="K13" s="13" t="n">
        <v>46394</v>
      </c>
      <c r="L13" s="7" t="s">
        <v>286</v>
      </c>
      <c r="M13" s="14"/>
      <c r="N13" s="9"/>
      <c r="O13" s="9" t="s">
        <v>227</v>
      </c>
    </row>
    <row r="14" customFormat="false" ht="23.25" hidden="false" customHeight="true" outlineLevel="0" collapsed="false">
      <c r="A14" s="8" t="n">
        <v>13</v>
      </c>
      <c r="B14" s="13" t="n">
        <v>46405</v>
      </c>
      <c r="C14" s="7" t="s">
        <v>287</v>
      </c>
      <c r="D14" s="7" t="s">
        <v>288</v>
      </c>
      <c r="E14" s="7" t="s">
        <v>162</v>
      </c>
      <c r="F14" s="7" t="s">
        <v>289</v>
      </c>
      <c r="G14" s="7" t="s">
        <v>290</v>
      </c>
      <c r="H14" s="7" t="s">
        <v>291</v>
      </c>
      <c r="I14" s="7" t="s">
        <v>292</v>
      </c>
      <c r="J14" s="7" t="s">
        <v>293</v>
      </c>
      <c r="K14" s="13" t="n">
        <v>46401</v>
      </c>
      <c r="L14" s="7" t="s">
        <v>294</v>
      </c>
      <c r="M14" s="14"/>
      <c r="N14" s="9"/>
      <c r="O14" s="9" t="s">
        <v>227</v>
      </c>
    </row>
    <row r="15" customFormat="false" ht="15" hidden="false" customHeight="true" outlineLevel="0" collapsed="false">
      <c r="L15" s="11" t="s">
        <v>295</v>
      </c>
      <c r="M15" s="15" t="n">
        <f aca="false">SUM(M2:M14)</f>
        <v>0</v>
      </c>
    </row>
    <row r="17" customFormat="false" ht="15" hidden="false" customHeight="true" outlineLevel="0" collapsed="false">
      <c r="A17" s="16" t="s">
        <v>296</v>
      </c>
    </row>
  </sheetData>
  <autoFilter ref="A1:O14"/>
  <dataValidations count="1">
    <dataValidation allowBlank="true" errorStyle="stop" operator="between" showDropDown="false" showErrorMessage="false" showInputMessage="false" sqref="O2:O14" type="list">
      <formula1>"Not started,In progress,Ready,Live,Done,Moved"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</cols>
  <sheetData>
    <row r="1" customFormat="false" ht="17.25" hidden="false" customHeight="true" outlineLevel="0" collapsed="false">
      <c r="A1" s="2" t="s">
        <v>297</v>
      </c>
    </row>
    <row r="3" customFormat="false" ht="15" hidden="false" customHeight="true" outlineLevel="0" collapsed="false">
      <c r="A3" s="11" t="s">
        <v>298</v>
      </c>
    </row>
    <row r="4" customFormat="false" ht="15" hidden="false" customHeight="true" outlineLevel="0" collapsed="false">
      <c r="A4" s="17" t="s">
        <v>25</v>
      </c>
      <c r="B4" s="17" t="s">
        <v>299</v>
      </c>
    </row>
    <row r="5" customFormat="false" ht="15" hidden="false" customHeight="true" outlineLevel="0" collapsed="false">
      <c r="A5" s="18" t="s">
        <v>74</v>
      </c>
      <c r="B5" s="18" t="n">
        <f aca="false">COUNTIF(Skills!$E$2:$E$20,A5)</f>
        <v>7</v>
      </c>
    </row>
    <row r="6" customFormat="false" ht="15" hidden="false" customHeight="true" outlineLevel="0" collapsed="false">
      <c r="A6" s="18" t="s">
        <v>56</v>
      </c>
      <c r="B6" s="18" t="n">
        <f aca="false">COUNTIF(Skills!$E$2:$E$20,A6)</f>
        <v>8</v>
      </c>
    </row>
    <row r="7" customFormat="false" ht="15" hidden="false" customHeight="true" outlineLevel="0" collapsed="false">
      <c r="A7" s="18" t="s">
        <v>41</v>
      </c>
      <c r="B7" s="18" t="n">
        <f aca="false">COUNTIF(Skills!$E$2:$E$20,A7)</f>
        <v>4</v>
      </c>
    </row>
    <row r="8" customFormat="false" ht="15" hidden="false" customHeight="true" outlineLevel="0" collapsed="false">
      <c r="A8" s="11" t="s">
        <v>300</v>
      </c>
      <c r="B8" s="11" t="n">
        <f aca="false">SUM(B5:B7)</f>
        <v>19</v>
      </c>
    </row>
    <row r="10" customFormat="false" ht="15" hidden="false" customHeight="true" outlineLevel="0" collapsed="false">
      <c r="A10" s="11" t="s">
        <v>301</v>
      </c>
    </row>
    <row r="11" customFormat="false" ht="15" hidden="false" customHeight="true" outlineLevel="0" collapsed="false">
      <c r="A11" s="17" t="s">
        <v>27</v>
      </c>
      <c r="B11" s="17" t="s">
        <v>299</v>
      </c>
    </row>
    <row r="12" customFormat="false" ht="15" hidden="false" customHeight="true" outlineLevel="0" collapsed="false">
      <c r="A12" s="18" t="s">
        <v>110</v>
      </c>
      <c r="B12" s="18" t="n">
        <f aca="false">COUNTIF(Skills!$G$2:$G$20,A12)</f>
        <v>2</v>
      </c>
    </row>
    <row r="13" customFormat="false" ht="15" hidden="false" customHeight="true" outlineLevel="0" collapsed="false">
      <c r="A13" s="18" t="s">
        <v>150</v>
      </c>
      <c r="B13" s="18" t="n">
        <f aca="false">COUNTIF(Skills!$G$2:$G$20,A13)</f>
        <v>1</v>
      </c>
    </row>
    <row r="14" customFormat="false" ht="15" hidden="false" customHeight="true" outlineLevel="0" collapsed="false">
      <c r="A14" s="18" t="s">
        <v>66</v>
      </c>
      <c r="B14" s="18" t="n">
        <f aca="false">COUNTIF(Skills!$G$2:$G$20,A14)</f>
        <v>2</v>
      </c>
    </row>
    <row r="15" customFormat="false" ht="15" hidden="false" customHeight="true" outlineLevel="0" collapsed="false">
      <c r="A15" s="18" t="s">
        <v>43</v>
      </c>
      <c r="B15" s="18" t="n">
        <f aca="false">COUNTIF(Skills!$G$2:$G$20,A15)</f>
        <v>14</v>
      </c>
    </row>
    <row r="16" customFormat="false" ht="15" hidden="false" customHeight="true" outlineLevel="0" collapsed="false">
      <c r="A16" s="11" t="s">
        <v>300</v>
      </c>
      <c r="B16" s="11" t="n">
        <f aca="false">SUM(B12:B15)</f>
        <v>19</v>
      </c>
    </row>
    <row r="18" customFormat="false" ht="15" hidden="false" customHeight="true" outlineLevel="0" collapsed="false">
      <c r="A18" s="11" t="s">
        <v>302</v>
      </c>
    </row>
    <row r="19" customFormat="false" ht="15" hidden="false" customHeight="true" outlineLevel="0" collapsed="false">
      <c r="A19" s="17" t="s">
        <v>29</v>
      </c>
      <c r="B19" s="17" t="s">
        <v>299</v>
      </c>
    </row>
    <row r="20" customFormat="false" ht="15" hidden="false" customHeight="true" outlineLevel="0" collapsed="false">
      <c r="A20" s="18" t="s">
        <v>44</v>
      </c>
      <c r="B20" s="18" t="n">
        <f aca="false">COUNTIF(Skills!$I$2:$I$20,A20)</f>
        <v>1</v>
      </c>
    </row>
    <row r="21" customFormat="false" ht="15" hidden="false" customHeight="true" outlineLevel="0" collapsed="false">
      <c r="A21" s="18" t="s">
        <v>58</v>
      </c>
      <c r="B21" s="18" t="n">
        <f aca="false">COUNTIF(Skills!$I$2:$I$20,A21)</f>
        <v>12</v>
      </c>
    </row>
    <row r="22" customFormat="false" ht="15" hidden="false" customHeight="true" outlineLevel="0" collapsed="false">
      <c r="A22" s="18" t="s">
        <v>83</v>
      </c>
      <c r="B22" s="18" t="n">
        <f aca="false">COUNTIF(Skills!$I$2:$I$20,A22)</f>
        <v>1</v>
      </c>
    </row>
    <row r="23" customFormat="false" ht="15" hidden="false" customHeight="true" outlineLevel="0" collapsed="false">
      <c r="A23" s="18" t="s">
        <v>157</v>
      </c>
      <c r="B23" s="18" t="n">
        <f aca="false">COUNTIF(Skills!$I$2:$I$20,A23)</f>
        <v>1</v>
      </c>
    </row>
    <row r="24" customFormat="false" ht="15" hidden="false" customHeight="true" outlineLevel="0" collapsed="false">
      <c r="A24" s="18" t="s">
        <v>97</v>
      </c>
      <c r="B24" s="18" t="n">
        <f aca="false">COUNTIF(Skills!$I$2:$I$20,A24)</f>
        <v>3</v>
      </c>
    </row>
    <row r="25" customFormat="false" ht="15" hidden="false" customHeight="true" outlineLevel="0" collapsed="false">
      <c r="A25" s="18" t="s">
        <v>171</v>
      </c>
      <c r="B25" s="18" t="n">
        <f aca="false">COUNTIF(Skills!$I$2:$I$20,A25)</f>
        <v>1</v>
      </c>
    </row>
    <row r="26" customFormat="false" ht="15" hidden="false" customHeight="true" outlineLevel="0" collapsed="false">
      <c r="A26" s="11" t="s">
        <v>300</v>
      </c>
      <c r="B26" s="11" t="n">
        <f aca="false">SUM(B20:B25)</f>
        <v>19</v>
      </c>
    </row>
    <row r="28" customFormat="false" ht="15" hidden="false" customHeight="true" outlineLevel="0" collapsed="false">
      <c r="A28" s="11" t="s">
        <v>303</v>
      </c>
    </row>
    <row r="29" customFormat="false" ht="15" hidden="false" customHeight="true" outlineLevel="0" collapsed="false">
      <c r="A29" s="17" t="s">
        <v>304</v>
      </c>
      <c r="B29" s="17" t="s">
        <v>299</v>
      </c>
    </row>
    <row r="30" customFormat="false" ht="15" hidden="false" customHeight="true" outlineLevel="0" collapsed="false">
      <c r="A30" s="18" t="s">
        <v>74</v>
      </c>
      <c r="B30" s="18" t="n">
        <f aca="false">COUNTIF('13-week plan'!$F$2:$F$14,A30)</f>
        <v>3</v>
      </c>
    </row>
    <row r="31" customFormat="false" ht="15" hidden="false" customHeight="true" outlineLevel="0" collapsed="false">
      <c r="A31" s="18" t="s">
        <v>56</v>
      </c>
      <c r="B31" s="18" t="n">
        <f aca="false">COUNTIF('13-week plan'!$F$2:$F$14,A31)</f>
        <v>6</v>
      </c>
    </row>
    <row r="32" customFormat="false" ht="15" hidden="false" customHeight="true" outlineLevel="0" collapsed="false">
      <c r="A32" s="18" t="s">
        <v>41</v>
      </c>
      <c r="B32" s="18" t="n">
        <f aca="false">COUNTIF('13-week plan'!$F$2:$F$14,A32)</f>
        <v>3</v>
      </c>
    </row>
    <row r="33" customFormat="false" ht="15" hidden="false" customHeight="true" outlineLevel="0" collapsed="false">
      <c r="A33" s="18" t="s">
        <v>289</v>
      </c>
      <c r="B33" s="18" t="n">
        <f aca="false">COUNTIF('13-week plan'!$F$2:$F$14,A33)</f>
        <v>1</v>
      </c>
    </row>
    <row r="34" customFormat="false" ht="15" hidden="false" customHeight="true" outlineLevel="0" collapsed="false">
      <c r="A34" s="11" t="s">
        <v>300</v>
      </c>
      <c r="B34" s="11" t="n">
        <f aca="false">SUM(B30:B33)</f>
        <v>13</v>
      </c>
    </row>
    <row r="36" customFormat="false" ht="15" hidden="false" customHeight="true" outlineLevel="0" collapsed="false">
      <c r="A36" s="11" t="s">
        <v>305</v>
      </c>
    </row>
    <row r="37" customFormat="false" ht="15" hidden="false" customHeight="true" outlineLevel="0" collapsed="false">
      <c r="A37" s="17" t="s">
        <v>219</v>
      </c>
      <c r="B37" s="17" t="s">
        <v>299</v>
      </c>
    </row>
    <row r="38" customFormat="false" ht="15" hidden="false" customHeight="true" outlineLevel="0" collapsed="false">
      <c r="A38" s="18" t="s">
        <v>227</v>
      </c>
      <c r="B38" s="18" t="n">
        <f aca="false">COUNTIF('13-week plan'!$O$2:$O$14,A38)</f>
        <v>13</v>
      </c>
    </row>
    <row r="39" customFormat="false" ht="15" hidden="false" customHeight="true" outlineLevel="0" collapsed="false">
      <c r="A39" s="18" t="s">
        <v>306</v>
      </c>
      <c r="B39" s="18" t="n">
        <f aca="false">COUNTIF('13-week plan'!$O$2:$O$14,A39)</f>
        <v>0</v>
      </c>
    </row>
    <row r="40" customFormat="false" ht="15" hidden="false" customHeight="true" outlineLevel="0" collapsed="false">
      <c r="A40" s="18" t="s">
        <v>307</v>
      </c>
      <c r="B40" s="18" t="n">
        <f aca="false">COUNTIF('13-week plan'!$O$2:$O$14,A40)</f>
        <v>0</v>
      </c>
    </row>
    <row r="41" customFormat="false" ht="15" hidden="false" customHeight="true" outlineLevel="0" collapsed="false">
      <c r="A41" s="18" t="s">
        <v>308</v>
      </c>
      <c r="B41" s="18" t="n">
        <f aca="false">COUNTIF('13-week plan'!$O$2:$O$14,A41)</f>
        <v>0</v>
      </c>
    </row>
    <row r="42" customFormat="false" ht="15" hidden="false" customHeight="true" outlineLevel="0" collapsed="false">
      <c r="A42" s="18" t="s">
        <v>309</v>
      </c>
      <c r="B42" s="18" t="n">
        <f aca="false">COUNTIF('13-week plan'!$O$2:$O$14,A42)</f>
        <v>0</v>
      </c>
    </row>
    <row r="43" customFormat="false" ht="15" hidden="false" customHeight="true" outlineLevel="0" collapsed="false">
      <c r="A43" s="18" t="s">
        <v>310</v>
      </c>
      <c r="B43" s="18" t="n">
        <f aca="false">COUNTIF('13-week plan'!$O$2:$O$14,A43)</f>
        <v>0</v>
      </c>
    </row>
    <row r="44" customFormat="false" ht="15" hidden="false" customHeight="true" outlineLevel="0" collapsed="false">
      <c r="A44" s="11" t="s">
        <v>300</v>
      </c>
      <c r="B44" s="11" t="n">
        <f aca="false">SUM(B38:B43)</f>
        <v>13</v>
      </c>
    </row>
  </sheetData>
  <conditionalFormatting sqref="A12:A15">
    <cfRule type="cellIs" priority="2" operator="equal" aboveAverage="0" equalAverage="0" bottom="0" percent="0" rank="0" text="" dxfId="9">
      <formula>"High"</formula>
    </cfRule>
    <cfRule type="cellIs" priority="3" operator="equal" aboveAverage="0" equalAverage="0" bottom="0" percent="0" rank="0" text="" dxfId="10">
      <formula>"Medium"</formula>
    </cfRule>
    <cfRule type="cellIs" priority="4" operator="equal" aboveAverage="0" equalAverage="0" bottom="0" percent="0" rank="0" text="" dxfId="11">
      <formula>"Low"</formula>
    </cfRule>
    <cfRule type="cellIs" priority="5" operator="equal" aboveAverage="0" equalAverage="0" bottom="0" percent="0" rank="0" text="" dxfId="12">
      <formula>"None"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2026-10-19T14:39:36Z</dcterms:created>
  <dc:creator>openpyxl</dc:creator>
  <dc:description/>
  <dc:language>en-US</dc:language>
  <cp:lastModifiedBy/>
  <dcterms:modified xsi:type="dcterms:W3CDTF">2026-10-20T06:39:48Z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